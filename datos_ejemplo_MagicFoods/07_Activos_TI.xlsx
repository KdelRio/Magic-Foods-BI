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AnalisisDeDatos\datos_ejemplo_MagicFoods\"/>
    </mc:Choice>
  </mc:AlternateContent>
  <xr:revisionPtr revIDLastSave="0" documentId="13_ncr:1_{BF8AB632-E59D-4927-9037-35321C690E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Parametros" sheetId="2" r:id="rId2"/>
    <sheet name="InventarioEquip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1" i="3" l="1"/>
  <c r="S91" i="3" s="1"/>
  <c r="O91" i="3"/>
  <c r="P90" i="3"/>
  <c r="S90" i="3" s="1"/>
  <c r="O90" i="3"/>
  <c r="R89" i="3"/>
  <c r="P89" i="3"/>
  <c r="S89" i="3" s="1"/>
  <c r="O89" i="3"/>
  <c r="Q89" i="3" s="1"/>
  <c r="T89" i="3" s="1"/>
  <c r="P88" i="3"/>
  <c r="S88" i="3" s="1"/>
  <c r="O88" i="3"/>
  <c r="Q88" i="3" s="1"/>
  <c r="P87" i="3"/>
  <c r="O87" i="3"/>
  <c r="P86" i="3"/>
  <c r="S86" i="3" s="1"/>
  <c r="O86" i="3"/>
  <c r="Q86" i="3" s="1"/>
  <c r="R86" i="3" s="1"/>
  <c r="P85" i="3"/>
  <c r="S85" i="3" s="1"/>
  <c r="O85" i="3"/>
  <c r="Q85" i="3" s="1"/>
  <c r="P84" i="3"/>
  <c r="S84" i="3" s="1"/>
  <c r="O84" i="3"/>
  <c r="P83" i="3"/>
  <c r="S83" i="3" s="1"/>
  <c r="O83" i="3"/>
  <c r="P82" i="3"/>
  <c r="S82" i="3" s="1"/>
  <c r="O82" i="3"/>
  <c r="Q82" i="3" s="1"/>
  <c r="P81" i="3"/>
  <c r="S81" i="3" s="1"/>
  <c r="O81" i="3"/>
  <c r="P80" i="3"/>
  <c r="S80" i="3" s="1"/>
  <c r="O80" i="3"/>
  <c r="Q80" i="3" s="1"/>
  <c r="P79" i="3"/>
  <c r="S79" i="3" s="1"/>
  <c r="O79" i="3"/>
  <c r="S78" i="3"/>
  <c r="P78" i="3"/>
  <c r="O78" i="3"/>
  <c r="Q78" i="3" s="1"/>
  <c r="P77" i="3"/>
  <c r="S77" i="3" s="1"/>
  <c r="O77" i="3"/>
  <c r="Q77" i="3" s="1"/>
  <c r="S76" i="3"/>
  <c r="P76" i="3"/>
  <c r="O76" i="3"/>
  <c r="Q76" i="3" s="1"/>
  <c r="P75" i="3"/>
  <c r="S75" i="3" s="1"/>
  <c r="O75" i="3"/>
  <c r="Q75" i="3" s="1"/>
  <c r="P74" i="3"/>
  <c r="S74" i="3" s="1"/>
  <c r="O74" i="3"/>
  <c r="Q74" i="3" s="1"/>
  <c r="P73" i="3"/>
  <c r="S73" i="3" s="1"/>
  <c r="O73" i="3"/>
  <c r="Q73" i="3" s="1"/>
  <c r="P72" i="3"/>
  <c r="Q72" i="3" s="1"/>
  <c r="O72" i="3"/>
  <c r="R71" i="3"/>
  <c r="P71" i="3"/>
  <c r="O71" i="3"/>
  <c r="P70" i="3"/>
  <c r="S70" i="3" s="1"/>
  <c r="O70" i="3"/>
  <c r="Q70" i="3" s="1"/>
  <c r="P69" i="3"/>
  <c r="S69" i="3" s="1"/>
  <c r="O69" i="3"/>
  <c r="P68" i="3"/>
  <c r="S68" i="3" s="1"/>
  <c r="O68" i="3"/>
  <c r="P67" i="3"/>
  <c r="S67" i="3" s="1"/>
  <c r="O67" i="3"/>
  <c r="Q67" i="3" s="1"/>
  <c r="R66" i="3"/>
  <c r="P66" i="3"/>
  <c r="S66" i="3" s="1"/>
  <c r="O66" i="3"/>
  <c r="P65" i="3"/>
  <c r="S65" i="3" s="1"/>
  <c r="O65" i="3"/>
  <c r="Q65" i="3" s="1"/>
  <c r="P64" i="3"/>
  <c r="S64" i="3" s="1"/>
  <c r="O64" i="3"/>
  <c r="Q64" i="3" s="1"/>
  <c r="R63" i="3"/>
  <c r="P63" i="3"/>
  <c r="O63" i="3"/>
  <c r="S62" i="3"/>
  <c r="P62" i="3"/>
  <c r="O62" i="3"/>
  <c r="P61" i="3"/>
  <c r="S61" i="3" s="1"/>
  <c r="O61" i="3"/>
  <c r="Q61" i="3" s="1"/>
  <c r="P60" i="3"/>
  <c r="S60" i="3" s="1"/>
  <c r="O60" i="3"/>
  <c r="P59" i="3"/>
  <c r="S59" i="3" s="1"/>
  <c r="O59" i="3"/>
  <c r="R58" i="3"/>
  <c r="P58" i="3"/>
  <c r="S58" i="3" s="1"/>
  <c r="O58" i="3"/>
  <c r="Q57" i="3"/>
  <c r="R57" i="3" s="1"/>
  <c r="P57" i="3"/>
  <c r="S57" i="3" s="1"/>
  <c r="O57" i="3"/>
  <c r="P56" i="3"/>
  <c r="S56" i="3" s="1"/>
  <c r="O56" i="3"/>
  <c r="Q56" i="3" s="1"/>
  <c r="P55" i="3"/>
  <c r="S55" i="3" s="1"/>
  <c r="O55" i="3"/>
  <c r="P54" i="3"/>
  <c r="S54" i="3" s="1"/>
  <c r="O54" i="3"/>
  <c r="Q54" i="3" s="1"/>
  <c r="S53" i="3"/>
  <c r="P53" i="3"/>
  <c r="O53" i="3"/>
  <c r="Q53" i="3" s="1"/>
  <c r="S52" i="3"/>
  <c r="P52" i="3"/>
  <c r="O52" i="3"/>
  <c r="P51" i="3"/>
  <c r="S51" i="3" s="1"/>
  <c r="O51" i="3"/>
  <c r="Q51" i="3" s="1"/>
  <c r="P50" i="3"/>
  <c r="S50" i="3" s="1"/>
  <c r="O50" i="3"/>
  <c r="Q50" i="3" s="1"/>
  <c r="P49" i="3"/>
  <c r="S49" i="3" s="1"/>
  <c r="O49" i="3"/>
  <c r="Q49" i="3" s="1"/>
  <c r="S48" i="3"/>
  <c r="P48" i="3"/>
  <c r="O48" i="3"/>
  <c r="Q48" i="3" s="1"/>
  <c r="P47" i="3"/>
  <c r="S47" i="3" s="1"/>
  <c r="O47" i="3"/>
  <c r="R46" i="3"/>
  <c r="P46" i="3"/>
  <c r="S46" i="3" s="1"/>
  <c r="O46" i="3"/>
  <c r="Q46" i="3" s="1"/>
  <c r="T46" i="3" s="1"/>
  <c r="S45" i="3"/>
  <c r="P45" i="3"/>
  <c r="O45" i="3"/>
  <c r="Q45" i="3" s="1"/>
  <c r="P44" i="3"/>
  <c r="S44" i="3" s="1"/>
  <c r="O44" i="3"/>
  <c r="Q44" i="3" s="1"/>
  <c r="R43" i="3"/>
  <c r="P43" i="3"/>
  <c r="S43" i="3" s="1"/>
  <c r="O43" i="3"/>
  <c r="Q43" i="3" s="1"/>
  <c r="T43" i="3" s="1"/>
  <c r="P42" i="3"/>
  <c r="S42" i="3" s="1"/>
  <c r="O42" i="3"/>
  <c r="P41" i="3"/>
  <c r="S41" i="3" s="1"/>
  <c r="O41" i="3"/>
  <c r="Q41" i="3" s="1"/>
  <c r="S40" i="3"/>
  <c r="P40" i="3"/>
  <c r="O40" i="3"/>
  <c r="Q40" i="3" s="1"/>
  <c r="P39" i="3"/>
  <c r="Q39" i="3" s="1"/>
  <c r="O39" i="3"/>
  <c r="P38" i="3"/>
  <c r="S38" i="3" s="1"/>
  <c r="O38" i="3"/>
  <c r="Q38" i="3" s="1"/>
  <c r="S37" i="3"/>
  <c r="P37" i="3"/>
  <c r="O37" i="3"/>
  <c r="P36" i="3"/>
  <c r="S36" i="3" s="1"/>
  <c r="O36" i="3"/>
  <c r="Q36" i="3" s="1"/>
  <c r="R35" i="3"/>
  <c r="P35" i="3"/>
  <c r="S35" i="3" s="1"/>
  <c r="O35" i="3"/>
  <c r="Q35" i="3" s="1"/>
  <c r="T35" i="3" s="1"/>
  <c r="P34" i="3"/>
  <c r="S34" i="3" s="1"/>
  <c r="O34" i="3"/>
  <c r="Q34" i="3" s="1"/>
  <c r="S33" i="3"/>
  <c r="P33" i="3"/>
  <c r="O33" i="3"/>
  <c r="Q33" i="3" s="1"/>
  <c r="S32" i="3"/>
  <c r="P32" i="3"/>
  <c r="O32" i="3"/>
  <c r="Q32" i="3" s="1"/>
  <c r="T32" i="3" s="1"/>
  <c r="P31" i="3"/>
  <c r="O31" i="3"/>
  <c r="S30" i="3"/>
  <c r="P30" i="3"/>
  <c r="O30" i="3"/>
  <c r="Q30" i="3" s="1"/>
  <c r="P29" i="3"/>
  <c r="S29" i="3" s="1"/>
  <c r="O29" i="3"/>
  <c r="Q29" i="3" s="1"/>
  <c r="S28" i="3"/>
  <c r="P28" i="3"/>
  <c r="O28" i="3"/>
  <c r="Q28" i="3" s="1"/>
  <c r="P27" i="3"/>
  <c r="S27" i="3" s="1"/>
  <c r="O27" i="3"/>
  <c r="R26" i="3"/>
  <c r="P26" i="3"/>
  <c r="S26" i="3" s="1"/>
  <c r="O26" i="3"/>
  <c r="Q26" i="3" s="1"/>
  <c r="T26" i="3" s="1"/>
  <c r="S25" i="3"/>
  <c r="Q25" i="3"/>
  <c r="R25" i="3" s="1"/>
  <c r="P25" i="3"/>
  <c r="O25" i="3"/>
  <c r="R24" i="3"/>
  <c r="Q24" i="3"/>
  <c r="T24" i="3" s="1"/>
  <c r="P24" i="3"/>
  <c r="S24" i="3" s="1"/>
  <c r="O24" i="3"/>
  <c r="P23" i="3"/>
  <c r="S23" i="3" s="1"/>
  <c r="O23" i="3"/>
  <c r="S22" i="3"/>
  <c r="P22" i="3"/>
  <c r="O22" i="3"/>
  <c r="Q22" i="3" s="1"/>
  <c r="P21" i="3"/>
  <c r="S21" i="3" s="1"/>
  <c r="O21" i="3"/>
  <c r="Q21" i="3" s="1"/>
  <c r="S20" i="3"/>
  <c r="P20" i="3"/>
  <c r="O20" i="3"/>
  <c r="Q20" i="3" s="1"/>
  <c r="P19" i="3"/>
  <c r="S19" i="3" s="1"/>
  <c r="O19" i="3"/>
  <c r="Q19" i="3" s="1"/>
  <c r="P18" i="3"/>
  <c r="S18" i="3" s="1"/>
  <c r="O18" i="3"/>
  <c r="S17" i="3"/>
  <c r="R17" i="3"/>
  <c r="Q17" i="3"/>
  <c r="T17" i="3" s="1"/>
  <c r="P17" i="3"/>
  <c r="O17" i="3"/>
  <c r="P16" i="3"/>
  <c r="S16" i="3" s="1"/>
  <c r="O16" i="3"/>
  <c r="Q16" i="3" s="1"/>
  <c r="R16" i="3" s="1"/>
  <c r="P15" i="3"/>
  <c r="O15" i="3"/>
  <c r="P14" i="3"/>
  <c r="S14" i="3" s="1"/>
  <c r="O14" i="3"/>
  <c r="Q14" i="3" s="1"/>
  <c r="S13" i="3"/>
  <c r="P13" i="3"/>
  <c r="O13" i="3"/>
  <c r="Q13" i="3" s="1"/>
  <c r="S12" i="3"/>
  <c r="P12" i="3"/>
  <c r="O12" i="3"/>
  <c r="P11" i="3"/>
  <c r="S11" i="3" s="1"/>
  <c r="O11" i="3"/>
  <c r="Q11" i="3" s="1"/>
  <c r="P10" i="3"/>
  <c r="S10" i="3" s="1"/>
  <c r="O10" i="3"/>
  <c r="Q10" i="3" s="1"/>
  <c r="P9" i="3"/>
  <c r="S9" i="3" s="1"/>
  <c r="O9" i="3"/>
  <c r="Q9" i="3" s="1"/>
  <c r="S8" i="3"/>
  <c r="Q8" i="3"/>
  <c r="T8" i="3" s="1"/>
  <c r="P8" i="3"/>
  <c r="O8" i="3"/>
  <c r="P7" i="3"/>
  <c r="S7" i="3" s="1"/>
  <c r="O7" i="3"/>
  <c r="P6" i="3"/>
  <c r="S6" i="3" s="1"/>
  <c r="O6" i="3"/>
  <c r="Q6" i="3" s="1"/>
  <c r="P5" i="3"/>
  <c r="S5" i="3" s="1"/>
  <c r="O5" i="3"/>
  <c r="Q5" i="3" s="1"/>
  <c r="P4" i="3"/>
  <c r="S4" i="3" s="1"/>
  <c r="O4" i="3"/>
  <c r="R3" i="3"/>
  <c r="P3" i="3"/>
  <c r="S3" i="3" s="1"/>
  <c r="O3" i="3"/>
  <c r="P2" i="3"/>
  <c r="S2" i="3" s="1"/>
  <c r="O2" i="3"/>
  <c r="Q2" i="3" s="1"/>
  <c r="R85" i="3" l="1"/>
  <c r="T85" i="3"/>
  <c r="T64" i="3"/>
  <c r="R64" i="3"/>
  <c r="T72" i="3"/>
  <c r="R72" i="3"/>
  <c r="R73" i="3"/>
  <c r="T73" i="3"/>
  <c r="R9" i="3"/>
  <c r="T9" i="3"/>
  <c r="T88" i="3"/>
  <c r="R88" i="3"/>
  <c r="R77" i="3"/>
  <c r="T77" i="3"/>
  <c r="T80" i="3"/>
  <c r="R80" i="3"/>
  <c r="T40" i="3"/>
  <c r="R40" i="3"/>
  <c r="R41" i="3"/>
  <c r="T41" i="3"/>
  <c r="T48" i="3"/>
  <c r="R48" i="3"/>
  <c r="R65" i="3"/>
  <c r="T65" i="3"/>
  <c r="R33" i="3"/>
  <c r="T33" i="3"/>
  <c r="R49" i="3"/>
  <c r="T49" i="3"/>
  <c r="T56" i="3"/>
  <c r="R56" i="3"/>
  <c r="Q3" i="3"/>
  <c r="T3" i="3" s="1"/>
  <c r="Q18" i="3"/>
  <c r="T18" i="3" s="1"/>
  <c r="Q58" i="3"/>
  <c r="T58" i="3" s="1"/>
  <c r="Q68" i="3"/>
  <c r="S72" i="3"/>
  <c r="Q87" i="3"/>
  <c r="Q4" i="3"/>
  <c r="Q59" i="3"/>
  <c r="T59" i="3" s="1"/>
  <c r="Q69" i="3"/>
  <c r="Q83" i="3"/>
  <c r="T83" i="3" s="1"/>
  <c r="Q15" i="3"/>
  <c r="T15" i="3" s="1"/>
  <c r="Q60" i="3"/>
  <c r="R60" i="3" s="1"/>
  <c r="Q84" i="3"/>
  <c r="R84" i="3" s="1"/>
  <c r="Q31" i="3"/>
  <c r="T31" i="3" s="1"/>
  <c r="Q37" i="3"/>
  <c r="T37" i="3" s="1"/>
  <c r="Q71" i="3"/>
  <c r="T71" i="3" s="1"/>
  <c r="T25" i="3"/>
  <c r="Q12" i="3"/>
  <c r="T12" i="3" s="1"/>
  <c r="Q52" i="3"/>
  <c r="Q62" i="3"/>
  <c r="Q66" i="3"/>
  <c r="T66" i="3" s="1"/>
  <c r="Q27" i="3"/>
  <c r="Q42" i="3"/>
  <c r="Q90" i="3"/>
  <c r="Q81" i="3"/>
  <c r="Q91" i="3"/>
  <c r="T57" i="3"/>
  <c r="Q63" i="3"/>
  <c r="T63" i="3" s="1"/>
  <c r="T69" i="3"/>
  <c r="R69" i="3"/>
  <c r="T68" i="3"/>
  <c r="R68" i="3"/>
  <c r="T87" i="3"/>
  <c r="R87" i="3"/>
  <c r="T45" i="3"/>
  <c r="R45" i="3"/>
  <c r="T74" i="3"/>
  <c r="R74" i="3"/>
  <c r="T82" i="3"/>
  <c r="R82" i="3"/>
  <c r="R70" i="3"/>
  <c r="T70" i="3"/>
  <c r="T10" i="3"/>
  <c r="R10" i="3"/>
  <c r="T21" i="3"/>
  <c r="R21" i="3"/>
  <c r="T36" i="3"/>
  <c r="R36" i="3"/>
  <c r="T50" i="3"/>
  <c r="R50" i="3"/>
  <c r="R44" i="3"/>
  <c r="T44" i="3"/>
  <c r="T20" i="3"/>
  <c r="R20" i="3"/>
  <c r="T5" i="3"/>
  <c r="R5" i="3"/>
  <c r="R14" i="3"/>
  <c r="T14" i="3"/>
  <c r="T34" i="3"/>
  <c r="R34" i="3"/>
  <c r="T75" i="3"/>
  <c r="R75" i="3"/>
  <c r="R22" i="3"/>
  <c r="T22" i="3"/>
  <c r="T76" i="3"/>
  <c r="R76" i="3"/>
  <c r="T29" i="3"/>
  <c r="R29" i="3"/>
  <c r="T19" i="3"/>
  <c r="R19" i="3"/>
  <c r="R78" i="3"/>
  <c r="T78" i="3"/>
  <c r="T61" i="3"/>
  <c r="R61" i="3"/>
  <c r="R6" i="3"/>
  <c r="T6" i="3"/>
  <c r="T11" i="3"/>
  <c r="R11" i="3"/>
  <c r="T51" i="3"/>
  <c r="R51" i="3"/>
  <c r="R37" i="3"/>
  <c r="T52" i="3"/>
  <c r="R52" i="3"/>
  <c r="R62" i="3"/>
  <c r="T62" i="3"/>
  <c r="R39" i="3"/>
  <c r="T39" i="3"/>
  <c r="R4" i="3"/>
  <c r="T4" i="3"/>
  <c r="T42" i="3"/>
  <c r="R42" i="3"/>
  <c r="T90" i="3"/>
  <c r="R90" i="3"/>
  <c r="R38" i="3"/>
  <c r="T38" i="3"/>
  <c r="T2" i="3"/>
  <c r="R2" i="3"/>
  <c r="T13" i="3"/>
  <c r="R13" i="3"/>
  <c r="R28" i="3"/>
  <c r="T28" i="3"/>
  <c r="T53" i="3"/>
  <c r="R53" i="3"/>
  <c r="T67" i="3"/>
  <c r="R67" i="3"/>
  <c r="T91" i="3"/>
  <c r="R91" i="3"/>
  <c r="R54" i="3"/>
  <c r="T54" i="3"/>
  <c r="R30" i="3"/>
  <c r="T30" i="3"/>
  <c r="T27" i="3"/>
  <c r="R27" i="3"/>
  <c r="Q47" i="3"/>
  <c r="Q55" i="3"/>
  <c r="Q79" i="3"/>
  <c r="T86" i="3"/>
  <c r="Q7" i="3"/>
  <c r="Q23" i="3"/>
  <c r="S15" i="3"/>
  <c r="S31" i="3"/>
  <c r="S39" i="3"/>
  <c r="S63" i="3"/>
  <c r="S71" i="3"/>
  <c r="S87" i="3"/>
  <c r="R8" i="3"/>
  <c r="R32" i="3"/>
  <c r="T16" i="3"/>
  <c r="R18" i="3" l="1"/>
  <c r="R12" i="3"/>
  <c r="R31" i="3"/>
  <c r="R15" i="3"/>
  <c r="R83" i="3"/>
  <c r="T84" i="3"/>
  <c r="R81" i="3"/>
  <c r="T81" i="3"/>
  <c r="R59" i="3"/>
  <c r="T60" i="3"/>
  <c r="T55" i="3"/>
  <c r="R55" i="3"/>
  <c r="T23" i="3"/>
  <c r="R23" i="3"/>
  <c r="R47" i="3"/>
  <c r="T47" i="3"/>
  <c r="T79" i="3"/>
  <c r="R79" i="3"/>
  <c r="T7" i="3"/>
  <c r="R7" i="3"/>
</calcChain>
</file>

<file path=xl/sharedStrings.xml><?xml version="1.0" encoding="utf-8"?>
<sst xmlns="http://schemas.openxmlformats.org/spreadsheetml/2006/main" count="1021" uniqueCount="322">
  <si>
    <t>Activos tecnológicos</t>
  </si>
  <si>
    <t>Magic Foods S.A. (empresa ficticia) · Datos 100% ficticios generados para portafolio / práctica de BI. Período: ene-2023 a dic-2024 · Fecha de corte: 31-12-2024.</t>
  </si>
  <si>
    <t>Modifique la vida útil en Parametros para recalcular el nivel de obsolescencia y el año de renovación sugerido.</t>
  </si>
  <si>
    <t>Hoja</t>
  </si>
  <si>
    <t>Filas</t>
  </si>
  <si>
    <t>Descripción</t>
  </si>
  <si>
    <t>Indicadores / visualizaciones sugeridas</t>
  </si>
  <si>
    <t>InventarioEquipos</t>
  </si>
  <si>
    <t>Inventario del parque computacional</t>
  </si>
  <si>
    <t>Antigüedad, estado y obsolescencia; plan de renovación tecnológica por año y área</t>
  </si>
  <si>
    <t>Parametros</t>
  </si>
  <si>
    <t>Fecha de corte y vida útil por tipo (celdas azules editables)</t>
  </si>
  <si>
    <t>Supuestos de obsolescencia</t>
  </si>
  <si>
    <t>DICCIONARIO DE DATOS</t>
  </si>
  <si>
    <t>Columna</t>
  </si>
  <si>
    <t>Formato</t>
  </si>
  <si>
    <t>ActivoID</t>
  </si>
  <si>
    <t>Código de activo</t>
  </si>
  <si>
    <t>Texto / número</t>
  </si>
  <si>
    <t>TipoEquipo</t>
  </si>
  <si>
    <t>Marca</t>
  </si>
  <si>
    <t>Modelo</t>
  </si>
  <si>
    <t>NroSerie</t>
  </si>
  <si>
    <t>Ficticio</t>
  </si>
  <si>
    <t>Area</t>
  </si>
  <si>
    <t>Área usuaria</t>
  </si>
  <si>
    <t>UsuarioAsignado</t>
  </si>
  <si>
    <t>EmpleadoID o Compartido</t>
  </si>
  <si>
    <t>FechaAdquisicion</t>
  </si>
  <si>
    <t>Fecha</t>
  </si>
  <si>
    <t>CostoAdquisicion</t>
  </si>
  <si>
    <t>Moneda CLP</t>
  </si>
  <si>
    <t>SistemaOperativo</t>
  </si>
  <si>
    <t>RAM_GB</t>
  </si>
  <si>
    <t>Almacenamiento</t>
  </si>
  <si>
    <t>Estado</t>
  </si>
  <si>
    <t>Operativo / En reparación / De baja / En bodega</t>
  </si>
  <si>
    <t>UltimaMantencion</t>
  </si>
  <si>
    <t>AntiguedadAnios</t>
  </si>
  <si>
    <t>Fórmula (a fecha de corte)</t>
  </si>
  <si>
    <t>VidaUtilAnios</t>
  </si>
  <si>
    <t>Desde Parametros</t>
  </si>
  <si>
    <t>Entero</t>
  </si>
  <si>
    <t>PctVidaConsumida</t>
  </si>
  <si>
    <t>Antigüedad / Vida útil</t>
  </si>
  <si>
    <t>Porcentaje</t>
  </si>
  <si>
    <t>NivelObsolescencia</t>
  </si>
  <si>
    <t>Vigente / Por renovar / Obsoleto / Dado de baja</t>
  </si>
  <si>
    <t>AnioRenovacion</t>
  </si>
  <si>
    <t>Año sugerido de reemplazo</t>
  </si>
  <si>
    <t>ValorLibroEstimado</t>
  </si>
  <si>
    <t>Depreciación lineal</t>
  </si>
  <si>
    <t>FechaCorte</t>
  </si>
  <si>
    <t>Notebook</t>
  </si>
  <si>
    <t>Computador de escritorio</t>
  </si>
  <si>
    <t>Monitor</t>
  </si>
  <si>
    <t>Impresora</t>
  </si>
  <si>
    <t>Servidor</t>
  </si>
  <si>
    <t>Switch</t>
  </si>
  <si>
    <t>Access Point</t>
  </si>
  <si>
    <t>Tablet</t>
  </si>
  <si>
    <t>Terminal lector de código</t>
  </si>
  <si>
    <t>TI-0001</t>
  </si>
  <si>
    <t>HP</t>
  </si>
  <si>
    <t>HP ProBook 440</t>
  </si>
  <si>
    <t>SN554559707</t>
  </si>
  <si>
    <t>Producción</t>
  </si>
  <si>
    <t>E030</t>
  </si>
  <si>
    <t>Windows 7 Pro</t>
  </si>
  <si>
    <t>HDD 500 GB</t>
  </si>
  <si>
    <t>Operativo</t>
  </si>
  <si>
    <t>TI-0002</t>
  </si>
  <si>
    <t>Dell</t>
  </si>
  <si>
    <t>Dell Latitude 3420</t>
  </si>
  <si>
    <t>SN890948216</t>
  </si>
  <si>
    <t>Calidad</t>
  </si>
  <si>
    <t>E042</t>
  </si>
  <si>
    <t>De baja</t>
  </si>
  <si>
    <t>TI-0003</t>
  </si>
  <si>
    <t>SN627599520</t>
  </si>
  <si>
    <t>Comercial</t>
  </si>
  <si>
    <t>E044</t>
  </si>
  <si>
    <t>Windows 11 Pro</t>
  </si>
  <si>
    <t>SSD 512 GB</t>
  </si>
  <si>
    <t>TI-0004</t>
  </si>
  <si>
    <t>SN155977212</t>
  </si>
  <si>
    <t>Bodega y Despacho</t>
  </si>
  <si>
    <t>E037</t>
  </si>
  <si>
    <t>Windows 10 Pro</t>
  </si>
  <si>
    <t>TI-0005</t>
  </si>
  <si>
    <t>Lenovo</t>
  </si>
  <si>
    <t>Lenovo ThinkPad E14</t>
  </si>
  <si>
    <t>SN180378681</t>
  </si>
  <si>
    <t>Administración y Finanzas</t>
  </si>
  <si>
    <t>E057</t>
  </si>
  <si>
    <t>TI-0006</t>
  </si>
  <si>
    <t>SN663925711</t>
  </si>
  <si>
    <t>E058</t>
  </si>
  <si>
    <t>TI-0007</t>
  </si>
  <si>
    <t>SN708606679</t>
  </si>
  <si>
    <t>E045</t>
  </si>
  <si>
    <t>TI-0008</t>
  </si>
  <si>
    <t>SN960770641</t>
  </si>
  <si>
    <t>TI-0009</t>
  </si>
  <si>
    <t>SN919466678</t>
  </si>
  <si>
    <t>TI-0010</t>
  </si>
  <si>
    <t>SN970204930</t>
  </si>
  <si>
    <t>E054</t>
  </si>
  <si>
    <t>SSD 256 GB</t>
  </si>
  <si>
    <t>TI-0011</t>
  </si>
  <si>
    <t>SN282057169</t>
  </si>
  <si>
    <t>E053</t>
  </si>
  <si>
    <t>TI-0012</t>
  </si>
  <si>
    <t>Lenovo IdeaPad 3</t>
  </si>
  <si>
    <t>SN527759909</t>
  </si>
  <si>
    <t>TI-0013</t>
  </si>
  <si>
    <t>SN170860814</t>
  </si>
  <si>
    <t>E056</t>
  </si>
  <si>
    <t>TI-0014</t>
  </si>
  <si>
    <t>SN660234884</t>
  </si>
  <si>
    <t>E047</t>
  </si>
  <si>
    <t>TI-0015</t>
  </si>
  <si>
    <t>SN258230739</t>
  </si>
  <si>
    <t>E050</t>
  </si>
  <si>
    <t>TI-0016</t>
  </si>
  <si>
    <t>SN606013242</t>
  </si>
  <si>
    <t>E049</t>
  </si>
  <si>
    <t>TI-0017</t>
  </si>
  <si>
    <t>SN282951089</t>
  </si>
  <si>
    <t>E048</t>
  </si>
  <si>
    <t>TI-0018</t>
  </si>
  <si>
    <t>SN203777518</t>
  </si>
  <si>
    <t>En reparación</t>
  </si>
  <si>
    <t>TI-0019</t>
  </si>
  <si>
    <t>SN391799946</t>
  </si>
  <si>
    <t>TI-0020</t>
  </si>
  <si>
    <t>SN274157023</t>
  </si>
  <si>
    <t>TI-0021</t>
  </si>
  <si>
    <t>SN578970262</t>
  </si>
  <si>
    <t>E040</t>
  </si>
  <si>
    <t>TI-0022</t>
  </si>
  <si>
    <t>SN758473731</t>
  </si>
  <si>
    <t>En bodega</t>
  </si>
  <si>
    <t>TI-0023</t>
  </si>
  <si>
    <t>SN493610357</t>
  </si>
  <si>
    <t>TI-0024</t>
  </si>
  <si>
    <t>SN754872996</t>
  </si>
  <si>
    <t>E052</t>
  </si>
  <si>
    <t>TI-0025</t>
  </si>
  <si>
    <t>SN468791964</t>
  </si>
  <si>
    <t>TI-0026</t>
  </si>
  <si>
    <t>SN680338522</t>
  </si>
  <si>
    <t>Tecnologías de la Información</t>
  </si>
  <si>
    <t>E065</t>
  </si>
  <si>
    <t>TI-0027</t>
  </si>
  <si>
    <t>SN143119768</t>
  </si>
  <si>
    <t>TI-0028</t>
  </si>
  <si>
    <t>SN633290868</t>
  </si>
  <si>
    <t>TI-0029</t>
  </si>
  <si>
    <t>HP ProDesk 400</t>
  </si>
  <si>
    <t>SN646040651</t>
  </si>
  <si>
    <t>TI-0030</t>
  </si>
  <si>
    <t>Lenovo ThinkCentre M70</t>
  </si>
  <si>
    <t>SN967527751</t>
  </si>
  <si>
    <t>E043</t>
  </si>
  <si>
    <t>TI-0031</t>
  </si>
  <si>
    <t>Dell OptiPlex 3080</t>
  </si>
  <si>
    <t>SN192072159</t>
  </si>
  <si>
    <t>TI-0032</t>
  </si>
  <si>
    <t>SN375473742</t>
  </si>
  <si>
    <t>E060</t>
  </si>
  <si>
    <t>TI-0033</t>
  </si>
  <si>
    <t>SN187074232</t>
  </si>
  <si>
    <t>TI-0034</t>
  </si>
  <si>
    <t>SN761346683</t>
  </si>
  <si>
    <t>TI-0035</t>
  </si>
  <si>
    <t>SN352131697</t>
  </si>
  <si>
    <t>E064</t>
  </si>
  <si>
    <t>TI-0036</t>
  </si>
  <si>
    <t>SN655038235</t>
  </si>
  <si>
    <t>TI-0037</t>
  </si>
  <si>
    <t>SN197321197</t>
  </si>
  <si>
    <t>E063</t>
  </si>
  <si>
    <t>TI-0038</t>
  </si>
  <si>
    <t>SN399282333</t>
  </si>
  <si>
    <t>TI-0039</t>
  </si>
  <si>
    <t>SN819620003</t>
  </si>
  <si>
    <t>TI-0040</t>
  </si>
  <si>
    <t>SN539177527</t>
  </si>
  <si>
    <t>TI-0041</t>
  </si>
  <si>
    <t>SN362866383</t>
  </si>
  <si>
    <t>E041</t>
  </si>
  <si>
    <t>TI-0042</t>
  </si>
  <si>
    <t>SN419105488</t>
  </si>
  <si>
    <t>TI-0043</t>
  </si>
  <si>
    <t>SN100221974</t>
  </si>
  <si>
    <t>TI-0044</t>
  </si>
  <si>
    <t>SN380634155</t>
  </si>
  <si>
    <t>TI-0045</t>
  </si>
  <si>
    <t>SN311897948</t>
  </si>
  <si>
    <t>TI-0046</t>
  </si>
  <si>
    <t>SN276810943</t>
  </si>
  <si>
    <t>TI-0047</t>
  </si>
  <si>
    <t>SN426693924</t>
  </si>
  <si>
    <t>E055</t>
  </si>
  <si>
    <t>TI-0048</t>
  </si>
  <si>
    <t>SN886662115</t>
  </si>
  <si>
    <t>TI-0049</t>
  </si>
  <si>
    <t>SN860456146</t>
  </si>
  <si>
    <t>TI-0050</t>
  </si>
  <si>
    <t>SN756428737</t>
  </si>
  <si>
    <t>TI-0051</t>
  </si>
  <si>
    <t>Samsung</t>
  </si>
  <si>
    <t>Samsung 24" S24</t>
  </si>
  <si>
    <t>SN220434700</t>
  </si>
  <si>
    <t>Compartido</t>
  </si>
  <si>
    <t>N/A</t>
  </si>
  <si>
    <t>TI-0052</t>
  </si>
  <si>
    <t>SN804941079</t>
  </si>
  <si>
    <t>TI-0053</t>
  </si>
  <si>
    <t>LG</t>
  </si>
  <si>
    <t>LG 24" 24MK</t>
  </si>
  <si>
    <t>SN497813612</t>
  </si>
  <si>
    <t>TI-0054</t>
  </si>
  <si>
    <t>Dell 24" P2419</t>
  </si>
  <si>
    <t>SN612967519</t>
  </si>
  <si>
    <t>TI-0055</t>
  </si>
  <si>
    <t>SN407065146</t>
  </si>
  <si>
    <t>Personas</t>
  </si>
  <si>
    <t>TI-0056</t>
  </si>
  <si>
    <t>SN956506482</t>
  </si>
  <si>
    <t>TI-0057</t>
  </si>
  <si>
    <t>SN463673752</t>
  </si>
  <si>
    <t>TI-0058</t>
  </si>
  <si>
    <t>SN472919824</t>
  </si>
  <si>
    <t>TI-0059</t>
  </si>
  <si>
    <t>SN946178464</t>
  </si>
  <si>
    <t>TI-0060</t>
  </si>
  <si>
    <t>SN722641779</t>
  </si>
  <si>
    <t>TI-0061</t>
  </si>
  <si>
    <t>Brother</t>
  </si>
  <si>
    <t>Brother HL-L5100</t>
  </si>
  <si>
    <t>SN493012359</t>
  </si>
  <si>
    <t>TI-0062</t>
  </si>
  <si>
    <t>SN213816322</t>
  </si>
  <si>
    <t>TI-0063</t>
  </si>
  <si>
    <t>SN485069468</t>
  </si>
  <si>
    <t>TI-0064</t>
  </si>
  <si>
    <t>HP LaserJet Pro M404</t>
  </si>
  <si>
    <t>SN992465546</t>
  </si>
  <si>
    <t>TI-0065</t>
  </si>
  <si>
    <t>SN262321057</t>
  </si>
  <si>
    <t>TI-0066</t>
  </si>
  <si>
    <t>SN477986297</t>
  </si>
  <si>
    <t>TI-0067</t>
  </si>
  <si>
    <t>SN139949772</t>
  </si>
  <si>
    <t>TI-0068</t>
  </si>
  <si>
    <t>Zebra</t>
  </si>
  <si>
    <t>Zebra ZT230 (etiquetas)</t>
  </si>
  <si>
    <t>SN998025378</t>
  </si>
  <si>
    <t>TI-0069</t>
  </si>
  <si>
    <t>HP ProLiant ML110</t>
  </si>
  <si>
    <t>SN821337977</t>
  </si>
  <si>
    <t>Windows Server 2012 R2</t>
  </si>
  <si>
    <t>RAID 1 - 2x2 TB</t>
  </si>
  <si>
    <t>TI-0070</t>
  </si>
  <si>
    <t>SN933910615</t>
  </si>
  <si>
    <t>Windows Server 2019</t>
  </si>
  <si>
    <t>TI-0071</t>
  </si>
  <si>
    <t>Dell PowerEdge T340</t>
  </si>
  <si>
    <t>SN318798447</t>
  </si>
  <si>
    <t>TI-0072</t>
  </si>
  <si>
    <t>TP-Link</t>
  </si>
  <si>
    <t>TP-Link TL-SG3428</t>
  </si>
  <si>
    <t>SN954787035</t>
  </si>
  <si>
    <t>TI-0073</t>
  </si>
  <si>
    <t>SN342531331</t>
  </si>
  <si>
    <t>TI-0074</t>
  </si>
  <si>
    <t>Cisco</t>
  </si>
  <si>
    <t>Cisco CBS250-24</t>
  </si>
  <si>
    <t>SN409004895</t>
  </si>
  <si>
    <t>TI-0075</t>
  </si>
  <si>
    <t>SN542005515</t>
  </si>
  <si>
    <t>TI-0076</t>
  </si>
  <si>
    <t>SN190945039</t>
  </si>
  <si>
    <t>TI-0077</t>
  </si>
  <si>
    <t>Ubiquiti</t>
  </si>
  <si>
    <t>Ubiquiti UniFi U6 Lite</t>
  </si>
  <si>
    <t>SN430794060</t>
  </si>
  <si>
    <t>TI-0078</t>
  </si>
  <si>
    <t>SN129369697</t>
  </si>
  <si>
    <t>TI-0079</t>
  </si>
  <si>
    <t>SN964318606</t>
  </si>
  <si>
    <t>TI-0080</t>
  </si>
  <si>
    <t>TP-Link EAP225</t>
  </si>
  <si>
    <t>SN308334843</t>
  </si>
  <si>
    <t>TI-0081</t>
  </si>
  <si>
    <t>SN330192505</t>
  </si>
  <si>
    <t>TI-0082</t>
  </si>
  <si>
    <t>SN751660657</t>
  </si>
  <si>
    <t>TI-0083</t>
  </si>
  <si>
    <t>Lenovo Tab M10</t>
  </si>
  <si>
    <t>SN288554655</t>
  </si>
  <si>
    <t>Android</t>
  </si>
  <si>
    <t>TI-0084</t>
  </si>
  <si>
    <t>SN686481520</t>
  </si>
  <si>
    <t>TI-0085</t>
  </si>
  <si>
    <t>Samsung Galaxy Tab A8</t>
  </si>
  <si>
    <t>SN357914996</t>
  </si>
  <si>
    <t>TI-0086</t>
  </si>
  <si>
    <t>SN214949281</t>
  </si>
  <si>
    <t>TI-0087</t>
  </si>
  <si>
    <t>SN672775923</t>
  </si>
  <si>
    <t>TI-0088</t>
  </si>
  <si>
    <t>Honeywell</t>
  </si>
  <si>
    <t>Honeywell CT40</t>
  </si>
  <si>
    <t>SN974274805</t>
  </si>
  <si>
    <t>TI-0089</t>
  </si>
  <si>
    <t>SN449635508</t>
  </si>
  <si>
    <t>TI-0090</t>
  </si>
  <si>
    <t>Zebra TC21</t>
  </si>
  <si>
    <t>SN838010357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</si>
</sst>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\-yyyy"/>
    <numFmt numFmtId="166" formatCode="\$#,##0;\(\$#,##0\);\-"/>
    <numFmt numFmtId="167" formatCode="0.0"/>
    <numFmt numFmtId="168" formatCode="0.0%"/>
  </numFmts>
  <fonts count="8" x14ac:knownFonts="1">
    <font>
      <sz val="11"/>
      <color theme="1"/>
      <name val="Calibri"/>
      <family val="2"/>
      <scheme val="minor"/>
    </font>
    <font>
      <sz val="11"/>
      <color rgb="FF0000FF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6"/>
      <color rgb="FF1F4E78"/>
      <name val="Arial"/>
    </font>
    <font>
      <i/>
      <sz val="10"/>
      <color rgb="FF595959"/>
      <name val="Arial"/>
    </font>
    <font>
      <b/>
      <sz val="12"/>
      <color rgb="FF1F4E78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top" wrapText="1"/>
    </xf>
    <xf numFmtId="0" fontId="3" fillId="2" borderId="0" xfId="0" applyFont="1" applyFill="1"/>
    <xf numFmtId="3" fontId="4" fillId="0" borderId="0" xfId="0" applyNumberFormat="1" applyFont="1" applyAlignment="1">
      <alignment vertical="top" wrapText="1"/>
    </xf>
    <xf numFmtId="0" fontId="7" fillId="0" borderId="0" xfId="0" applyFont="1"/>
    <xf numFmtId="0" fontId="2" fillId="0" borderId="0" xfId="0" applyFont="1"/>
    <xf numFmtId="165" fontId="1" fillId="0" borderId="0" xfId="0" applyNumberFormat="1" applyFont="1"/>
    <xf numFmtId="0" fontId="4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3" fontId="4" fillId="0" borderId="0" xfId="0" applyNumberFormat="1" applyFont="1"/>
    <xf numFmtId="168" fontId="4" fillId="0" borderId="0" xfId="0" applyNumberFormat="1" applyFont="1"/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FEB9C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nventarioEquipos" displayName="tInventarioEquipos" ref="A1:T91">
  <autoFilter ref="A1:T91" xr:uid="{00000000-0009-0000-0100-000001000000}"/>
  <tableColumns count="20">
    <tableColumn id="1" xr3:uid="{00000000-0010-0000-0000-000001000000}" name="ActivoID"/>
    <tableColumn id="2" xr3:uid="{00000000-0010-0000-0000-000002000000}" name="TipoEquipo"/>
    <tableColumn id="3" xr3:uid="{00000000-0010-0000-0000-000003000000}" name="Marca"/>
    <tableColumn id="4" xr3:uid="{00000000-0010-0000-0000-000004000000}" name="Modelo"/>
    <tableColumn id="5" xr3:uid="{00000000-0010-0000-0000-000005000000}" name="NroSerie"/>
    <tableColumn id="6" xr3:uid="{00000000-0010-0000-0000-000006000000}" name="Area"/>
    <tableColumn id="7" xr3:uid="{00000000-0010-0000-0000-000007000000}" name="UsuarioAsignado"/>
    <tableColumn id="8" xr3:uid="{00000000-0010-0000-0000-000008000000}" name="FechaAdquisicion"/>
    <tableColumn id="9" xr3:uid="{00000000-0010-0000-0000-000009000000}" name="CostoAdquisicion"/>
    <tableColumn id="10" xr3:uid="{00000000-0010-0000-0000-00000A000000}" name="SistemaOperativo"/>
    <tableColumn id="11" xr3:uid="{00000000-0010-0000-0000-00000B000000}" name="RAM_GB"/>
    <tableColumn id="12" xr3:uid="{00000000-0010-0000-0000-00000C000000}" name="Almacenamiento"/>
    <tableColumn id="13" xr3:uid="{00000000-0010-0000-0000-00000D000000}" name="Estado"/>
    <tableColumn id="14" xr3:uid="{00000000-0010-0000-0000-00000E000000}" name="UltimaMantencion"/>
    <tableColumn id="15" xr3:uid="{00000000-0010-0000-0000-00000F000000}" name="AntiguedadAnios"/>
    <tableColumn id="16" xr3:uid="{00000000-0010-0000-0000-000010000000}" name="VidaUtilAnios"/>
    <tableColumn id="17" xr3:uid="{00000000-0010-0000-0000-000011000000}" name="PctVidaConsumida"/>
    <tableColumn id="18" xr3:uid="{00000000-0010-0000-0000-000012000000}" name="NivelObsolescencia"/>
    <tableColumn id="19" xr3:uid="{00000000-0010-0000-0000-000013000000}" name="AnioRenovacion"/>
    <tableColumn id="20" xr3:uid="{00000000-0010-0000-0000-000014000000}" name="ValorLibroEstim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2" width="34" customWidth="1"/>
    <col min="3" max="3" width="70" customWidth="1"/>
    <col min="4" max="4" width="60" customWidth="1"/>
  </cols>
  <sheetData>
    <row r="1" spans="1:4" ht="21" x14ac:dyDescent="0.4">
      <c r="A1" s="1" t="s">
        <v>0</v>
      </c>
    </row>
    <row r="2" spans="1:4" x14ac:dyDescent="0.3">
      <c r="A2" s="2" t="s">
        <v>1</v>
      </c>
    </row>
    <row r="3" spans="1:4" ht="48" customHeight="1" x14ac:dyDescent="0.3">
      <c r="A3" s="17" t="s">
        <v>2</v>
      </c>
      <c r="B3" s="18"/>
      <c r="C3" s="18"/>
      <c r="D3" s="18"/>
    </row>
    <row r="5" spans="1:4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26.4" x14ac:dyDescent="0.3">
      <c r="A6" s="3" t="s">
        <v>7</v>
      </c>
      <c r="B6" s="5">
        <v>90</v>
      </c>
      <c r="C6" s="3" t="s">
        <v>8</v>
      </c>
      <c r="D6" s="3" t="s">
        <v>9</v>
      </c>
    </row>
    <row r="7" spans="1:4" x14ac:dyDescent="0.3">
      <c r="A7" s="3" t="s">
        <v>10</v>
      </c>
      <c r="B7" s="5">
        <v>9</v>
      </c>
      <c r="C7" s="3" t="s">
        <v>11</v>
      </c>
      <c r="D7" s="3" t="s">
        <v>12</v>
      </c>
    </row>
    <row r="9" spans="1:4" ht="15.6" x14ac:dyDescent="0.3">
      <c r="A9" s="6" t="s">
        <v>13</v>
      </c>
    </row>
    <row r="10" spans="1:4" x14ac:dyDescent="0.3">
      <c r="A10" s="4" t="s">
        <v>3</v>
      </c>
      <c r="B10" s="4" t="s">
        <v>14</v>
      </c>
      <c r="C10" s="4" t="s">
        <v>5</v>
      </c>
      <c r="D10" s="4" t="s">
        <v>15</v>
      </c>
    </row>
    <row r="11" spans="1:4" x14ac:dyDescent="0.3">
      <c r="A11" s="3" t="s">
        <v>7</v>
      </c>
      <c r="B11" s="3" t="s">
        <v>16</v>
      </c>
      <c r="C11" s="3" t="s">
        <v>17</v>
      </c>
      <c r="D11" s="3" t="s">
        <v>18</v>
      </c>
    </row>
    <row r="12" spans="1:4" x14ac:dyDescent="0.3">
      <c r="A12" s="3" t="s">
        <v>7</v>
      </c>
      <c r="B12" s="3" t="s">
        <v>19</v>
      </c>
      <c r="C12" s="3"/>
      <c r="D12" s="3" t="s">
        <v>18</v>
      </c>
    </row>
    <row r="13" spans="1:4" x14ac:dyDescent="0.3">
      <c r="A13" s="3" t="s">
        <v>7</v>
      </c>
      <c r="B13" s="3" t="s">
        <v>20</v>
      </c>
      <c r="C13" s="3"/>
      <c r="D13" s="3" t="s">
        <v>18</v>
      </c>
    </row>
    <row r="14" spans="1:4" x14ac:dyDescent="0.3">
      <c r="A14" s="3" t="s">
        <v>7</v>
      </c>
      <c r="B14" s="3" t="s">
        <v>21</v>
      </c>
      <c r="C14" s="3"/>
      <c r="D14" s="3" t="s">
        <v>18</v>
      </c>
    </row>
    <row r="15" spans="1:4" x14ac:dyDescent="0.3">
      <c r="A15" s="3" t="s">
        <v>7</v>
      </c>
      <c r="B15" s="3" t="s">
        <v>22</v>
      </c>
      <c r="C15" s="3" t="s">
        <v>23</v>
      </c>
      <c r="D15" s="3" t="s">
        <v>18</v>
      </c>
    </row>
    <row r="16" spans="1:4" x14ac:dyDescent="0.3">
      <c r="A16" s="3" t="s">
        <v>7</v>
      </c>
      <c r="B16" s="3" t="s">
        <v>24</v>
      </c>
      <c r="C16" s="3" t="s">
        <v>25</v>
      </c>
      <c r="D16" s="3" t="s">
        <v>18</v>
      </c>
    </row>
    <row r="17" spans="1:4" x14ac:dyDescent="0.3">
      <c r="A17" s="3" t="s">
        <v>7</v>
      </c>
      <c r="B17" s="3" t="s">
        <v>26</v>
      </c>
      <c r="C17" s="3" t="s">
        <v>27</v>
      </c>
      <c r="D17" s="3" t="s">
        <v>18</v>
      </c>
    </row>
    <row r="18" spans="1:4" x14ac:dyDescent="0.3">
      <c r="A18" s="3" t="s">
        <v>7</v>
      </c>
      <c r="B18" s="3" t="s">
        <v>28</v>
      </c>
      <c r="C18" s="3"/>
      <c r="D18" s="3" t="s">
        <v>29</v>
      </c>
    </row>
    <row r="19" spans="1:4" x14ac:dyDescent="0.3">
      <c r="A19" s="3" t="s">
        <v>7</v>
      </c>
      <c r="B19" s="3" t="s">
        <v>30</v>
      </c>
      <c r="C19" s="3"/>
      <c r="D19" s="3" t="s">
        <v>31</v>
      </c>
    </row>
    <row r="20" spans="1:4" x14ac:dyDescent="0.3">
      <c r="A20" s="3" t="s">
        <v>7</v>
      </c>
      <c r="B20" s="3" t="s">
        <v>32</v>
      </c>
      <c r="C20" s="3"/>
      <c r="D20" s="3" t="s">
        <v>18</v>
      </c>
    </row>
    <row r="21" spans="1:4" x14ac:dyDescent="0.3">
      <c r="A21" s="3" t="s">
        <v>7</v>
      </c>
      <c r="B21" s="3" t="s">
        <v>33</v>
      </c>
      <c r="C21" s="3"/>
      <c r="D21" s="3" t="s">
        <v>18</v>
      </c>
    </row>
    <row r="22" spans="1:4" x14ac:dyDescent="0.3">
      <c r="A22" s="3" t="s">
        <v>7</v>
      </c>
      <c r="B22" s="3" t="s">
        <v>34</v>
      </c>
      <c r="C22" s="3"/>
      <c r="D22" s="3" t="s">
        <v>18</v>
      </c>
    </row>
    <row r="23" spans="1:4" x14ac:dyDescent="0.3">
      <c r="A23" s="3" t="s">
        <v>7</v>
      </c>
      <c r="B23" s="3" t="s">
        <v>35</v>
      </c>
      <c r="C23" s="3" t="s">
        <v>36</v>
      </c>
      <c r="D23" s="3" t="s">
        <v>18</v>
      </c>
    </row>
    <row r="24" spans="1:4" x14ac:dyDescent="0.3">
      <c r="A24" s="3" t="s">
        <v>7</v>
      </c>
      <c r="B24" s="3" t="s">
        <v>37</v>
      </c>
      <c r="C24" s="3"/>
      <c r="D24" s="3" t="s">
        <v>29</v>
      </c>
    </row>
    <row r="25" spans="1:4" x14ac:dyDescent="0.3">
      <c r="A25" s="3" t="s">
        <v>7</v>
      </c>
      <c r="B25" s="3" t="s">
        <v>38</v>
      </c>
      <c r="C25" s="3" t="s">
        <v>39</v>
      </c>
      <c r="D25" s="3" t="s">
        <v>18</v>
      </c>
    </row>
    <row r="26" spans="1:4" x14ac:dyDescent="0.3">
      <c r="A26" s="3" t="s">
        <v>7</v>
      </c>
      <c r="B26" s="3" t="s">
        <v>40</v>
      </c>
      <c r="C26" s="3" t="s">
        <v>41</v>
      </c>
      <c r="D26" s="3" t="s">
        <v>42</v>
      </c>
    </row>
    <row r="27" spans="1:4" x14ac:dyDescent="0.3">
      <c r="A27" s="3" t="s">
        <v>7</v>
      </c>
      <c r="B27" s="3" t="s">
        <v>43</v>
      </c>
      <c r="C27" s="3" t="s">
        <v>44</v>
      </c>
      <c r="D27" s="3" t="s">
        <v>45</v>
      </c>
    </row>
    <row r="28" spans="1:4" x14ac:dyDescent="0.3">
      <c r="A28" s="3" t="s">
        <v>7</v>
      </c>
      <c r="B28" s="3" t="s">
        <v>46</v>
      </c>
      <c r="C28" s="3" t="s">
        <v>47</v>
      </c>
      <c r="D28" s="3" t="s">
        <v>18</v>
      </c>
    </row>
    <row r="29" spans="1:4" x14ac:dyDescent="0.3">
      <c r="A29" s="3" t="s">
        <v>7</v>
      </c>
      <c r="B29" s="3" t="s">
        <v>48</v>
      </c>
      <c r="C29" s="3" t="s">
        <v>49</v>
      </c>
      <c r="D29" s="3" t="s">
        <v>18</v>
      </c>
    </row>
    <row r="30" spans="1:4" x14ac:dyDescent="0.3">
      <c r="A30" s="3" t="s">
        <v>7</v>
      </c>
      <c r="B30" s="3" t="s">
        <v>50</v>
      </c>
      <c r="C30" s="3" t="s">
        <v>51</v>
      </c>
      <c r="D30" s="3" t="s">
        <v>31</v>
      </c>
    </row>
  </sheetData>
  <mergeCells count="1"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8671875" defaultRowHeight="14.4" x14ac:dyDescent="0.3"/>
  <cols>
    <col min="1" max="1" width="28" customWidth="1"/>
    <col min="2" max="2" width="14" customWidth="1"/>
  </cols>
  <sheetData>
    <row r="1" spans="1:2" x14ac:dyDescent="0.3">
      <c r="A1" s="7" t="s">
        <v>52</v>
      </c>
      <c r="B1" s="8">
        <v>45657</v>
      </c>
    </row>
    <row r="3" spans="1:2" x14ac:dyDescent="0.3">
      <c r="A3" s="4" t="s">
        <v>19</v>
      </c>
      <c r="B3" s="4" t="s">
        <v>40</v>
      </c>
    </row>
    <row r="4" spans="1:2" x14ac:dyDescent="0.3">
      <c r="A4" s="9" t="s">
        <v>53</v>
      </c>
      <c r="B4" s="10">
        <v>4</v>
      </c>
    </row>
    <row r="5" spans="1:2" x14ac:dyDescent="0.3">
      <c r="A5" s="9" t="s">
        <v>54</v>
      </c>
      <c r="B5" s="10">
        <v>5</v>
      </c>
    </row>
    <row r="6" spans="1:2" x14ac:dyDescent="0.3">
      <c r="A6" s="9" t="s">
        <v>55</v>
      </c>
      <c r="B6" s="10">
        <v>6</v>
      </c>
    </row>
    <row r="7" spans="1:2" x14ac:dyDescent="0.3">
      <c r="A7" s="9" t="s">
        <v>56</v>
      </c>
      <c r="B7" s="10">
        <v>5</v>
      </c>
    </row>
    <row r="8" spans="1:2" x14ac:dyDescent="0.3">
      <c r="A8" s="9" t="s">
        <v>57</v>
      </c>
      <c r="B8" s="10">
        <v>6</v>
      </c>
    </row>
    <row r="9" spans="1:2" x14ac:dyDescent="0.3">
      <c r="A9" s="9" t="s">
        <v>58</v>
      </c>
      <c r="B9" s="10">
        <v>7</v>
      </c>
    </row>
    <row r="10" spans="1:2" x14ac:dyDescent="0.3">
      <c r="A10" s="9" t="s">
        <v>59</v>
      </c>
      <c r="B10" s="10">
        <v>5</v>
      </c>
    </row>
    <row r="11" spans="1:2" x14ac:dyDescent="0.3">
      <c r="A11" s="9" t="s">
        <v>60</v>
      </c>
      <c r="B11" s="10">
        <v>3</v>
      </c>
    </row>
    <row r="12" spans="1:2" x14ac:dyDescent="0.3">
      <c r="A12" s="9" t="s">
        <v>61</v>
      </c>
      <c r="B12" s="10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22" customWidth="1"/>
    <col min="3" max="3" width="10" customWidth="1"/>
    <col min="4" max="4" width="24" customWidth="1"/>
    <col min="5" max="5" width="13" customWidth="1"/>
    <col min="6" max="6" width="24" customWidth="1"/>
    <col min="7" max="8" width="12" customWidth="1"/>
    <col min="9" max="9" width="13" customWidth="1"/>
    <col min="10" max="10" width="18" customWidth="1"/>
    <col min="11" max="11" width="8" customWidth="1"/>
    <col min="12" max="12" width="14" customWidth="1"/>
    <col min="13" max="14" width="12" customWidth="1"/>
    <col min="15" max="15" width="10" customWidth="1"/>
    <col min="16" max="16" width="9" customWidth="1"/>
    <col min="17" max="17" width="10" customWidth="1"/>
    <col min="18" max="18" width="14" customWidth="1"/>
    <col min="19" max="19" width="10" customWidth="1"/>
    <col min="20" max="20" width="13" customWidth="1"/>
  </cols>
  <sheetData>
    <row r="1" spans="1:20" ht="30" customHeight="1" x14ac:dyDescent="0.3">
      <c r="A1" s="11" t="s">
        <v>16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24</v>
      </c>
      <c r="G1" s="11" t="s">
        <v>26</v>
      </c>
      <c r="H1" s="11" t="s">
        <v>28</v>
      </c>
      <c r="I1" s="11" t="s">
        <v>30</v>
      </c>
      <c r="J1" s="11" t="s">
        <v>32</v>
      </c>
      <c r="K1" s="11" t="s">
        <v>33</v>
      </c>
      <c r="L1" s="11" t="s">
        <v>34</v>
      </c>
      <c r="M1" s="11" t="s">
        <v>35</v>
      </c>
      <c r="N1" s="11" t="s">
        <v>37</v>
      </c>
      <c r="O1" s="11" t="s">
        <v>38</v>
      </c>
      <c r="P1" s="11" t="s">
        <v>40</v>
      </c>
      <c r="Q1" s="11" t="s">
        <v>43</v>
      </c>
      <c r="R1" s="11" t="s">
        <v>46</v>
      </c>
      <c r="S1" s="11" t="s">
        <v>48</v>
      </c>
      <c r="T1" s="11" t="s">
        <v>50</v>
      </c>
    </row>
    <row r="2" spans="1:20" x14ac:dyDescent="0.3">
      <c r="A2" s="9" t="s">
        <v>62</v>
      </c>
      <c r="B2" s="9" t="s">
        <v>53</v>
      </c>
      <c r="C2" s="9" t="s">
        <v>63</v>
      </c>
      <c r="D2" s="9" t="s">
        <v>64</v>
      </c>
      <c r="E2" s="9" t="s">
        <v>65</v>
      </c>
      <c r="F2" s="9" t="s">
        <v>66</v>
      </c>
      <c r="G2" s="9" t="s">
        <v>67</v>
      </c>
      <c r="H2" s="12">
        <v>42290</v>
      </c>
      <c r="I2" s="13">
        <v>790000</v>
      </c>
      <c r="J2" s="9" t="s">
        <v>68</v>
      </c>
      <c r="K2" s="9">
        <v>4</v>
      </c>
      <c r="L2" s="9" t="s">
        <v>69</v>
      </c>
      <c r="M2" s="9" t="s">
        <v>70</v>
      </c>
      <c r="N2" s="12">
        <v>45053</v>
      </c>
      <c r="O2" s="14">
        <f>ROUND(YEARFRAC(H2,Parametros!$B$1),1)</f>
        <v>9.1999999999999993</v>
      </c>
      <c r="P2" s="15">
        <f>INDEX(Parametros!$B$4:$B$12,MATCH(B2,Parametros!$A$4:$A$12,0))</f>
        <v>4</v>
      </c>
      <c r="Q2" s="16">
        <f t="shared" ref="Q2:Q33" si="0">O2/P2</f>
        <v>2.2999999999999998</v>
      </c>
      <c r="R2" s="9" t="str">
        <f t="shared" ref="R2:R33" si="1">IF(M2="De baja","Dado de baja",IF(Q2&gt;=1,"Obsoleto",IF(Q2&gt;=0.75,"Por renovar","Vigente")))</f>
        <v>Obsoleto</v>
      </c>
      <c r="S2" s="9">
        <f t="shared" ref="S2:S33" si="2">YEAR(H2)+P2</f>
        <v>2019</v>
      </c>
      <c r="T2" s="13">
        <f t="shared" ref="T2:T33" si="3">ROUND(MAX(0,I2*(1-Q2)),0)</f>
        <v>0</v>
      </c>
    </row>
    <row r="3" spans="1:20" x14ac:dyDescent="0.3">
      <c r="A3" s="9" t="s">
        <v>71</v>
      </c>
      <c r="B3" s="9" t="s">
        <v>53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12">
        <v>42122</v>
      </c>
      <c r="I3" s="13">
        <v>649000</v>
      </c>
      <c r="J3" s="9" t="s">
        <v>68</v>
      </c>
      <c r="K3" s="9">
        <v>4</v>
      </c>
      <c r="L3" s="9" t="s">
        <v>69</v>
      </c>
      <c r="M3" s="9" t="s">
        <v>77</v>
      </c>
      <c r="N3" s="12">
        <v>44813</v>
      </c>
      <c r="O3" s="14">
        <f>ROUND(YEARFRAC(H3,Parametros!$B$1),1)</f>
        <v>9.6999999999999993</v>
      </c>
      <c r="P3" s="15">
        <f>INDEX(Parametros!$B$4:$B$12,MATCH(B3,Parametros!$A$4:$A$12,0))</f>
        <v>4</v>
      </c>
      <c r="Q3" s="16">
        <f t="shared" si="0"/>
        <v>2.4249999999999998</v>
      </c>
      <c r="R3" s="9" t="str">
        <f t="shared" si="1"/>
        <v>Dado de baja</v>
      </c>
      <c r="S3" s="9">
        <f t="shared" si="2"/>
        <v>2019</v>
      </c>
      <c r="T3" s="13">
        <f t="shared" si="3"/>
        <v>0</v>
      </c>
    </row>
    <row r="4" spans="1:20" x14ac:dyDescent="0.3">
      <c r="A4" s="9" t="s">
        <v>78</v>
      </c>
      <c r="B4" s="9" t="s">
        <v>53</v>
      </c>
      <c r="C4" s="9" t="s">
        <v>72</v>
      </c>
      <c r="D4" s="9" t="s">
        <v>73</v>
      </c>
      <c r="E4" s="9" t="s">
        <v>79</v>
      </c>
      <c r="F4" s="9" t="s">
        <v>80</v>
      </c>
      <c r="G4" s="9" t="s">
        <v>81</v>
      </c>
      <c r="H4" s="12">
        <v>45063</v>
      </c>
      <c r="I4" s="13">
        <v>800000</v>
      </c>
      <c r="J4" s="9" t="s">
        <v>82</v>
      </c>
      <c r="K4" s="9">
        <v>16</v>
      </c>
      <c r="L4" s="9" t="s">
        <v>83</v>
      </c>
      <c r="M4" s="9" t="s">
        <v>70</v>
      </c>
      <c r="N4" s="12">
        <v>45657</v>
      </c>
      <c r="O4" s="14">
        <f>ROUND(YEARFRAC(H4,Parametros!$B$1),1)</f>
        <v>1.6</v>
      </c>
      <c r="P4" s="15">
        <f>INDEX(Parametros!$B$4:$B$12,MATCH(B4,Parametros!$A$4:$A$12,0))</f>
        <v>4</v>
      </c>
      <c r="Q4" s="16">
        <f t="shared" si="0"/>
        <v>0.4</v>
      </c>
      <c r="R4" s="9" t="str">
        <f t="shared" si="1"/>
        <v>Vigente</v>
      </c>
      <c r="S4" s="9">
        <f t="shared" si="2"/>
        <v>2027</v>
      </c>
      <c r="T4" s="13">
        <f t="shared" si="3"/>
        <v>480000</v>
      </c>
    </row>
    <row r="5" spans="1:20" x14ac:dyDescent="0.3">
      <c r="A5" s="9" t="s">
        <v>84</v>
      </c>
      <c r="B5" s="9" t="s">
        <v>53</v>
      </c>
      <c r="C5" s="9" t="s">
        <v>72</v>
      </c>
      <c r="D5" s="9" t="s">
        <v>73</v>
      </c>
      <c r="E5" s="9" t="s">
        <v>85</v>
      </c>
      <c r="F5" s="9" t="s">
        <v>86</v>
      </c>
      <c r="G5" s="9" t="s">
        <v>87</v>
      </c>
      <c r="H5" s="12">
        <v>43490</v>
      </c>
      <c r="I5" s="13">
        <v>779000</v>
      </c>
      <c r="J5" s="9" t="s">
        <v>88</v>
      </c>
      <c r="K5" s="9">
        <v>8</v>
      </c>
      <c r="L5" s="9" t="s">
        <v>69</v>
      </c>
      <c r="M5" s="9" t="s">
        <v>70</v>
      </c>
      <c r="N5" s="12">
        <v>45113</v>
      </c>
      <c r="O5" s="14">
        <f>ROUND(YEARFRAC(H5,Parametros!$B$1),1)</f>
        <v>5.9</v>
      </c>
      <c r="P5" s="15">
        <f>INDEX(Parametros!$B$4:$B$12,MATCH(B5,Parametros!$A$4:$A$12,0))</f>
        <v>4</v>
      </c>
      <c r="Q5" s="16">
        <f t="shared" si="0"/>
        <v>1.4750000000000001</v>
      </c>
      <c r="R5" s="9" t="str">
        <f t="shared" si="1"/>
        <v>Obsoleto</v>
      </c>
      <c r="S5" s="9">
        <f t="shared" si="2"/>
        <v>2023</v>
      </c>
      <c r="T5" s="13">
        <f t="shared" si="3"/>
        <v>0</v>
      </c>
    </row>
    <row r="6" spans="1:20" x14ac:dyDescent="0.3">
      <c r="A6" s="9" t="s">
        <v>89</v>
      </c>
      <c r="B6" s="9" t="s">
        <v>53</v>
      </c>
      <c r="C6" s="9" t="s">
        <v>90</v>
      </c>
      <c r="D6" s="9" t="s">
        <v>91</v>
      </c>
      <c r="E6" s="9" t="s">
        <v>92</v>
      </c>
      <c r="F6" s="9" t="s">
        <v>93</v>
      </c>
      <c r="G6" s="9" t="s">
        <v>94</v>
      </c>
      <c r="H6" s="12">
        <v>44548</v>
      </c>
      <c r="I6" s="13">
        <v>576000</v>
      </c>
      <c r="J6" s="9" t="s">
        <v>82</v>
      </c>
      <c r="K6" s="9">
        <v>16</v>
      </c>
      <c r="L6" s="9" t="s">
        <v>83</v>
      </c>
      <c r="M6" s="9" t="s">
        <v>70</v>
      </c>
      <c r="N6" s="12">
        <v>45358</v>
      </c>
      <c r="O6" s="14">
        <f>ROUND(YEARFRAC(H6,Parametros!$B$1),1)</f>
        <v>3</v>
      </c>
      <c r="P6" s="15">
        <f>INDEX(Parametros!$B$4:$B$12,MATCH(B6,Parametros!$A$4:$A$12,0))</f>
        <v>4</v>
      </c>
      <c r="Q6" s="16">
        <f t="shared" si="0"/>
        <v>0.75</v>
      </c>
      <c r="R6" s="9" t="str">
        <f t="shared" si="1"/>
        <v>Por renovar</v>
      </c>
      <c r="S6" s="9">
        <f t="shared" si="2"/>
        <v>2025</v>
      </c>
      <c r="T6" s="13">
        <f t="shared" si="3"/>
        <v>144000</v>
      </c>
    </row>
    <row r="7" spans="1:20" x14ac:dyDescent="0.3">
      <c r="A7" s="9" t="s">
        <v>95</v>
      </c>
      <c r="B7" s="9" t="s">
        <v>53</v>
      </c>
      <c r="C7" s="9" t="s">
        <v>72</v>
      </c>
      <c r="D7" s="9" t="s">
        <v>73</v>
      </c>
      <c r="E7" s="9" t="s">
        <v>96</v>
      </c>
      <c r="F7" s="9" t="s">
        <v>93</v>
      </c>
      <c r="G7" s="9" t="s">
        <v>97</v>
      </c>
      <c r="H7" s="12">
        <v>43234</v>
      </c>
      <c r="I7" s="13">
        <v>713000</v>
      </c>
      <c r="J7" s="9" t="s">
        <v>88</v>
      </c>
      <c r="K7" s="9">
        <v>8</v>
      </c>
      <c r="L7" s="9" t="s">
        <v>69</v>
      </c>
      <c r="M7" s="9" t="s">
        <v>70</v>
      </c>
      <c r="N7" s="12">
        <v>45219</v>
      </c>
      <c r="O7" s="14">
        <f>ROUND(YEARFRAC(H7,Parametros!$B$1),1)</f>
        <v>6.6</v>
      </c>
      <c r="P7" s="15">
        <f>INDEX(Parametros!$B$4:$B$12,MATCH(B7,Parametros!$A$4:$A$12,0))</f>
        <v>4</v>
      </c>
      <c r="Q7" s="16">
        <f t="shared" si="0"/>
        <v>1.65</v>
      </c>
      <c r="R7" s="9" t="str">
        <f t="shared" si="1"/>
        <v>Obsoleto</v>
      </c>
      <c r="S7" s="9">
        <f t="shared" si="2"/>
        <v>2022</v>
      </c>
      <c r="T7" s="13">
        <f t="shared" si="3"/>
        <v>0</v>
      </c>
    </row>
    <row r="8" spans="1:20" x14ac:dyDescent="0.3">
      <c r="A8" s="9" t="s">
        <v>98</v>
      </c>
      <c r="B8" s="9" t="s">
        <v>53</v>
      </c>
      <c r="C8" s="9" t="s">
        <v>63</v>
      </c>
      <c r="D8" s="9" t="s">
        <v>64</v>
      </c>
      <c r="E8" s="9" t="s">
        <v>99</v>
      </c>
      <c r="F8" s="9" t="s">
        <v>80</v>
      </c>
      <c r="G8" s="9" t="s">
        <v>100</v>
      </c>
      <c r="H8" s="12">
        <v>45288</v>
      </c>
      <c r="I8" s="13">
        <v>937000</v>
      </c>
      <c r="J8" s="9" t="s">
        <v>82</v>
      </c>
      <c r="K8" s="9">
        <v>16</v>
      </c>
      <c r="L8" s="9" t="s">
        <v>83</v>
      </c>
      <c r="M8" s="9" t="s">
        <v>70</v>
      </c>
      <c r="N8" s="12">
        <v>45422</v>
      </c>
      <c r="O8" s="14">
        <f>ROUND(YEARFRAC(H8,Parametros!$B$1),1)</f>
        <v>1</v>
      </c>
      <c r="P8" s="15">
        <f>INDEX(Parametros!$B$4:$B$12,MATCH(B8,Parametros!$A$4:$A$12,0))</f>
        <v>4</v>
      </c>
      <c r="Q8" s="16">
        <f t="shared" si="0"/>
        <v>0.25</v>
      </c>
      <c r="R8" s="9" t="str">
        <f t="shared" si="1"/>
        <v>Vigente</v>
      </c>
      <c r="S8" s="9">
        <f t="shared" si="2"/>
        <v>2027</v>
      </c>
      <c r="T8" s="13">
        <f t="shared" si="3"/>
        <v>702750</v>
      </c>
    </row>
    <row r="9" spans="1:20" x14ac:dyDescent="0.3">
      <c r="A9" s="9" t="s">
        <v>101</v>
      </c>
      <c r="B9" s="9" t="s">
        <v>53</v>
      </c>
      <c r="C9" s="9" t="s">
        <v>90</v>
      </c>
      <c r="D9" s="9" t="s">
        <v>91</v>
      </c>
      <c r="E9" s="9" t="s">
        <v>102</v>
      </c>
      <c r="F9" s="9" t="s">
        <v>80</v>
      </c>
      <c r="G9" s="9" t="s">
        <v>100</v>
      </c>
      <c r="H9" s="12">
        <v>44079</v>
      </c>
      <c r="I9" s="13">
        <v>882000</v>
      </c>
      <c r="J9" s="9" t="s">
        <v>88</v>
      </c>
      <c r="K9" s="9">
        <v>8</v>
      </c>
      <c r="L9" s="9" t="s">
        <v>69</v>
      </c>
      <c r="M9" s="9" t="s">
        <v>70</v>
      </c>
      <c r="N9" s="12">
        <v>45350</v>
      </c>
      <c r="O9" s="14">
        <f>ROUND(YEARFRAC(H9,Parametros!$B$1),1)</f>
        <v>4.3</v>
      </c>
      <c r="P9" s="15">
        <f>INDEX(Parametros!$B$4:$B$12,MATCH(B9,Parametros!$A$4:$A$12,0))</f>
        <v>4</v>
      </c>
      <c r="Q9" s="16">
        <f t="shared" si="0"/>
        <v>1.075</v>
      </c>
      <c r="R9" s="9" t="str">
        <f t="shared" si="1"/>
        <v>Obsoleto</v>
      </c>
      <c r="S9" s="9">
        <f t="shared" si="2"/>
        <v>2024</v>
      </c>
      <c r="T9" s="13">
        <f t="shared" si="3"/>
        <v>0</v>
      </c>
    </row>
    <row r="10" spans="1:20" x14ac:dyDescent="0.3">
      <c r="A10" s="9" t="s">
        <v>103</v>
      </c>
      <c r="B10" s="9" t="s">
        <v>53</v>
      </c>
      <c r="C10" s="9" t="s">
        <v>72</v>
      </c>
      <c r="D10" s="9" t="s">
        <v>73</v>
      </c>
      <c r="E10" s="9" t="s">
        <v>104</v>
      </c>
      <c r="F10" s="9" t="s">
        <v>66</v>
      </c>
      <c r="G10" s="9" t="s">
        <v>67</v>
      </c>
      <c r="H10" s="12">
        <v>45175</v>
      </c>
      <c r="I10" s="13">
        <v>794000</v>
      </c>
      <c r="J10" s="9" t="s">
        <v>82</v>
      </c>
      <c r="K10" s="9">
        <v>16</v>
      </c>
      <c r="L10" s="9" t="s">
        <v>83</v>
      </c>
      <c r="M10" s="9" t="s">
        <v>70</v>
      </c>
      <c r="N10" s="12">
        <v>45641</v>
      </c>
      <c r="O10" s="14">
        <f>ROUND(YEARFRAC(H10,Parametros!$B$1),1)</f>
        <v>1.3</v>
      </c>
      <c r="P10" s="15">
        <f>INDEX(Parametros!$B$4:$B$12,MATCH(B10,Parametros!$A$4:$A$12,0))</f>
        <v>4</v>
      </c>
      <c r="Q10" s="16">
        <f t="shared" si="0"/>
        <v>0.32500000000000001</v>
      </c>
      <c r="R10" s="9" t="str">
        <f t="shared" si="1"/>
        <v>Vigente</v>
      </c>
      <c r="S10" s="9">
        <f t="shared" si="2"/>
        <v>2027</v>
      </c>
      <c r="T10" s="13">
        <f t="shared" si="3"/>
        <v>535950</v>
      </c>
    </row>
    <row r="11" spans="1:20" x14ac:dyDescent="0.3">
      <c r="A11" s="9" t="s">
        <v>105</v>
      </c>
      <c r="B11" s="9" t="s">
        <v>53</v>
      </c>
      <c r="C11" s="9" t="s">
        <v>63</v>
      </c>
      <c r="D11" s="9" t="s">
        <v>64</v>
      </c>
      <c r="E11" s="9" t="s">
        <v>106</v>
      </c>
      <c r="F11" s="9" t="s">
        <v>80</v>
      </c>
      <c r="G11" s="9" t="s">
        <v>107</v>
      </c>
      <c r="H11" s="12">
        <v>42912</v>
      </c>
      <c r="I11" s="13">
        <v>895000</v>
      </c>
      <c r="J11" s="9" t="s">
        <v>88</v>
      </c>
      <c r="K11" s="9">
        <v>8</v>
      </c>
      <c r="L11" s="9" t="s">
        <v>108</v>
      </c>
      <c r="M11" s="9" t="s">
        <v>70</v>
      </c>
      <c r="N11" s="12">
        <v>45174</v>
      </c>
      <c r="O11" s="14">
        <f>ROUND(YEARFRAC(H11,Parametros!$B$1),1)</f>
        <v>7.5</v>
      </c>
      <c r="P11" s="15">
        <f>INDEX(Parametros!$B$4:$B$12,MATCH(B11,Parametros!$A$4:$A$12,0))</f>
        <v>4</v>
      </c>
      <c r="Q11" s="16">
        <f t="shared" si="0"/>
        <v>1.875</v>
      </c>
      <c r="R11" s="9" t="str">
        <f t="shared" si="1"/>
        <v>Obsoleto</v>
      </c>
      <c r="S11" s="9">
        <f t="shared" si="2"/>
        <v>2021</v>
      </c>
      <c r="T11" s="13">
        <f t="shared" si="3"/>
        <v>0</v>
      </c>
    </row>
    <row r="12" spans="1:20" x14ac:dyDescent="0.3">
      <c r="A12" s="9" t="s">
        <v>109</v>
      </c>
      <c r="B12" s="9" t="s">
        <v>53</v>
      </c>
      <c r="C12" s="9" t="s">
        <v>90</v>
      </c>
      <c r="D12" s="9" t="s">
        <v>91</v>
      </c>
      <c r="E12" s="9" t="s">
        <v>110</v>
      </c>
      <c r="F12" s="9" t="s">
        <v>80</v>
      </c>
      <c r="G12" s="9" t="s">
        <v>111</v>
      </c>
      <c r="H12" s="12">
        <v>43161</v>
      </c>
      <c r="I12" s="13">
        <v>871000</v>
      </c>
      <c r="J12" s="9" t="s">
        <v>88</v>
      </c>
      <c r="K12" s="9">
        <v>4</v>
      </c>
      <c r="L12" s="9" t="s">
        <v>69</v>
      </c>
      <c r="M12" s="9" t="s">
        <v>70</v>
      </c>
      <c r="N12" s="12">
        <v>45156</v>
      </c>
      <c r="O12" s="14">
        <f>ROUND(YEARFRAC(H12,Parametros!$B$1),1)</f>
        <v>6.8</v>
      </c>
      <c r="P12" s="15">
        <f>INDEX(Parametros!$B$4:$B$12,MATCH(B12,Parametros!$A$4:$A$12,0))</f>
        <v>4</v>
      </c>
      <c r="Q12" s="16">
        <f t="shared" si="0"/>
        <v>1.7</v>
      </c>
      <c r="R12" s="9" t="str">
        <f t="shared" si="1"/>
        <v>Obsoleto</v>
      </c>
      <c r="S12" s="9">
        <f t="shared" si="2"/>
        <v>2022</v>
      </c>
      <c r="T12" s="13">
        <f t="shared" si="3"/>
        <v>0</v>
      </c>
    </row>
    <row r="13" spans="1:20" x14ac:dyDescent="0.3">
      <c r="A13" s="9" t="s">
        <v>112</v>
      </c>
      <c r="B13" s="9" t="s">
        <v>53</v>
      </c>
      <c r="C13" s="9" t="s">
        <v>90</v>
      </c>
      <c r="D13" s="9" t="s">
        <v>113</v>
      </c>
      <c r="E13" s="9" t="s">
        <v>114</v>
      </c>
      <c r="F13" s="9" t="s">
        <v>80</v>
      </c>
      <c r="G13" s="9" t="s">
        <v>107</v>
      </c>
      <c r="H13" s="12">
        <v>44579</v>
      </c>
      <c r="I13" s="13">
        <v>623000</v>
      </c>
      <c r="J13" s="9" t="s">
        <v>82</v>
      </c>
      <c r="K13" s="9">
        <v>8</v>
      </c>
      <c r="L13" s="9" t="s">
        <v>83</v>
      </c>
      <c r="M13" s="9" t="s">
        <v>70</v>
      </c>
      <c r="N13" s="12">
        <v>45382</v>
      </c>
      <c r="O13" s="14">
        <f>ROUND(YEARFRAC(H13,Parametros!$B$1),1)</f>
        <v>3</v>
      </c>
      <c r="P13" s="15">
        <f>INDEX(Parametros!$B$4:$B$12,MATCH(B13,Parametros!$A$4:$A$12,0))</f>
        <v>4</v>
      </c>
      <c r="Q13" s="16">
        <f t="shared" si="0"/>
        <v>0.75</v>
      </c>
      <c r="R13" s="9" t="str">
        <f t="shared" si="1"/>
        <v>Por renovar</v>
      </c>
      <c r="S13" s="9">
        <f t="shared" si="2"/>
        <v>2026</v>
      </c>
      <c r="T13" s="13">
        <f t="shared" si="3"/>
        <v>155750</v>
      </c>
    </row>
    <row r="14" spans="1:20" x14ac:dyDescent="0.3">
      <c r="A14" s="9" t="s">
        <v>115</v>
      </c>
      <c r="B14" s="9" t="s">
        <v>53</v>
      </c>
      <c r="C14" s="9" t="s">
        <v>90</v>
      </c>
      <c r="D14" s="9" t="s">
        <v>113</v>
      </c>
      <c r="E14" s="9" t="s">
        <v>116</v>
      </c>
      <c r="F14" s="9" t="s">
        <v>93</v>
      </c>
      <c r="G14" s="9" t="s">
        <v>117</v>
      </c>
      <c r="H14" s="12">
        <v>43792</v>
      </c>
      <c r="I14" s="13">
        <v>600000</v>
      </c>
      <c r="J14" s="9" t="s">
        <v>88</v>
      </c>
      <c r="K14" s="9">
        <v>4</v>
      </c>
      <c r="L14" s="9" t="s">
        <v>69</v>
      </c>
      <c r="M14" s="9" t="s">
        <v>70</v>
      </c>
      <c r="N14" s="12">
        <v>45393</v>
      </c>
      <c r="O14" s="14">
        <f>ROUND(YEARFRAC(H14,Parametros!$B$1),1)</f>
        <v>5.0999999999999996</v>
      </c>
      <c r="P14" s="15">
        <f>INDEX(Parametros!$B$4:$B$12,MATCH(B14,Parametros!$A$4:$A$12,0))</f>
        <v>4</v>
      </c>
      <c r="Q14" s="16">
        <f t="shared" si="0"/>
        <v>1.2749999999999999</v>
      </c>
      <c r="R14" s="9" t="str">
        <f t="shared" si="1"/>
        <v>Obsoleto</v>
      </c>
      <c r="S14" s="9">
        <f t="shared" si="2"/>
        <v>2023</v>
      </c>
      <c r="T14" s="13">
        <f t="shared" si="3"/>
        <v>0</v>
      </c>
    </row>
    <row r="15" spans="1:20" x14ac:dyDescent="0.3">
      <c r="A15" s="9" t="s">
        <v>118</v>
      </c>
      <c r="B15" s="9" t="s">
        <v>53</v>
      </c>
      <c r="C15" s="9" t="s">
        <v>63</v>
      </c>
      <c r="D15" s="9" t="s">
        <v>64</v>
      </c>
      <c r="E15" s="9" t="s">
        <v>119</v>
      </c>
      <c r="F15" s="9" t="s">
        <v>80</v>
      </c>
      <c r="G15" s="9" t="s">
        <v>120</v>
      </c>
      <c r="H15" s="12">
        <v>44048</v>
      </c>
      <c r="I15" s="13">
        <v>941000</v>
      </c>
      <c r="J15" s="9" t="s">
        <v>88</v>
      </c>
      <c r="K15" s="9">
        <v>8</v>
      </c>
      <c r="L15" s="9" t="s">
        <v>108</v>
      </c>
      <c r="M15" s="9" t="s">
        <v>70</v>
      </c>
      <c r="N15" s="12">
        <v>45256</v>
      </c>
      <c r="O15" s="14">
        <f>ROUND(YEARFRAC(H15,Parametros!$B$1),1)</f>
        <v>4.4000000000000004</v>
      </c>
      <c r="P15" s="15">
        <f>INDEX(Parametros!$B$4:$B$12,MATCH(B15,Parametros!$A$4:$A$12,0))</f>
        <v>4</v>
      </c>
      <c r="Q15" s="16">
        <f t="shared" si="0"/>
        <v>1.1000000000000001</v>
      </c>
      <c r="R15" s="9" t="str">
        <f t="shared" si="1"/>
        <v>Obsoleto</v>
      </c>
      <c r="S15" s="9">
        <f t="shared" si="2"/>
        <v>2024</v>
      </c>
      <c r="T15" s="13">
        <f t="shared" si="3"/>
        <v>0</v>
      </c>
    </row>
    <row r="16" spans="1:20" x14ac:dyDescent="0.3">
      <c r="A16" s="9" t="s">
        <v>121</v>
      </c>
      <c r="B16" s="9" t="s">
        <v>53</v>
      </c>
      <c r="C16" s="9" t="s">
        <v>90</v>
      </c>
      <c r="D16" s="9" t="s">
        <v>113</v>
      </c>
      <c r="E16" s="9" t="s">
        <v>122</v>
      </c>
      <c r="F16" s="9" t="s">
        <v>80</v>
      </c>
      <c r="G16" s="9" t="s">
        <v>123</v>
      </c>
      <c r="H16" s="12">
        <v>43004</v>
      </c>
      <c r="I16" s="13">
        <v>852000</v>
      </c>
      <c r="J16" s="9" t="s">
        <v>88</v>
      </c>
      <c r="K16" s="9">
        <v>8</v>
      </c>
      <c r="L16" s="9" t="s">
        <v>108</v>
      </c>
      <c r="M16" s="9" t="s">
        <v>70</v>
      </c>
      <c r="N16" s="12">
        <v>44908</v>
      </c>
      <c r="O16" s="14">
        <f>ROUND(YEARFRAC(H16,Parametros!$B$1),1)</f>
        <v>7.3</v>
      </c>
      <c r="P16" s="15">
        <f>INDEX(Parametros!$B$4:$B$12,MATCH(B16,Parametros!$A$4:$A$12,0))</f>
        <v>4</v>
      </c>
      <c r="Q16" s="16">
        <f t="shared" si="0"/>
        <v>1.825</v>
      </c>
      <c r="R16" s="9" t="str">
        <f t="shared" si="1"/>
        <v>Obsoleto</v>
      </c>
      <c r="S16" s="9">
        <f t="shared" si="2"/>
        <v>2021</v>
      </c>
      <c r="T16" s="13">
        <f t="shared" si="3"/>
        <v>0</v>
      </c>
    </row>
    <row r="17" spans="1:20" x14ac:dyDescent="0.3">
      <c r="A17" s="9" t="s">
        <v>124</v>
      </c>
      <c r="B17" s="9" t="s">
        <v>53</v>
      </c>
      <c r="C17" s="9" t="s">
        <v>63</v>
      </c>
      <c r="D17" s="9" t="s">
        <v>64</v>
      </c>
      <c r="E17" s="9" t="s">
        <v>125</v>
      </c>
      <c r="F17" s="9" t="s">
        <v>80</v>
      </c>
      <c r="G17" s="9" t="s">
        <v>126</v>
      </c>
      <c r="H17" s="12">
        <v>43192</v>
      </c>
      <c r="I17" s="13">
        <v>802000</v>
      </c>
      <c r="J17" s="9" t="s">
        <v>88</v>
      </c>
      <c r="K17" s="9">
        <v>8</v>
      </c>
      <c r="L17" s="9" t="s">
        <v>108</v>
      </c>
      <c r="M17" s="9" t="s">
        <v>77</v>
      </c>
      <c r="N17" s="12">
        <v>45150</v>
      </c>
      <c r="O17" s="14">
        <f>ROUND(YEARFRAC(H17,Parametros!$B$1),1)</f>
        <v>6.7</v>
      </c>
      <c r="P17" s="15">
        <f>INDEX(Parametros!$B$4:$B$12,MATCH(B17,Parametros!$A$4:$A$12,0))</f>
        <v>4</v>
      </c>
      <c r="Q17" s="16">
        <f t="shared" si="0"/>
        <v>1.675</v>
      </c>
      <c r="R17" s="9" t="str">
        <f t="shared" si="1"/>
        <v>Dado de baja</v>
      </c>
      <c r="S17" s="9">
        <f t="shared" si="2"/>
        <v>2022</v>
      </c>
      <c r="T17" s="13">
        <f t="shared" si="3"/>
        <v>0</v>
      </c>
    </row>
    <row r="18" spans="1:20" x14ac:dyDescent="0.3">
      <c r="A18" s="9" t="s">
        <v>127</v>
      </c>
      <c r="B18" s="9" t="s">
        <v>53</v>
      </c>
      <c r="C18" s="9" t="s">
        <v>63</v>
      </c>
      <c r="D18" s="9" t="s">
        <v>64</v>
      </c>
      <c r="E18" s="9" t="s">
        <v>128</v>
      </c>
      <c r="F18" s="9" t="s">
        <v>80</v>
      </c>
      <c r="G18" s="9" t="s">
        <v>129</v>
      </c>
      <c r="H18" s="12">
        <v>45300</v>
      </c>
      <c r="I18" s="13">
        <v>909000</v>
      </c>
      <c r="J18" s="9" t="s">
        <v>82</v>
      </c>
      <c r="K18" s="9">
        <v>8</v>
      </c>
      <c r="L18" s="9" t="s">
        <v>83</v>
      </c>
      <c r="M18" s="9" t="s">
        <v>70</v>
      </c>
      <c r="N18" s="12">
        <v>45639</v>
      </c>
      <c r="O18" s="14">
        <f>ROUND(YEARFRAC(H18,Parametros!$B$1),1)</f>
        <v>1</v>
      </c>
      <c r="P18" s="15">
        <f>INDEX(Parametros!$B$4:$B$12,MATCH(B18,Parametros!$A$4:$A$12,0))</f>
        <v>4</v>
      </c>
      <c r="Q18" s="16">
        <f t="shared" si="0"/>
        <v>0.25</v>
      </c>
      <c r="R18" s="9" t="str">
        <f t="shared" si="1"/>
        <v>Vigente</v>
      </c>
      <c r="S18" s="9">
        <f t="shared" si="2"/>
        <v>2028</v>
      </c>
      <c r="T18" s="13">
        <f t="shared" si="3"/>
        <v>681750</v>
      </c>
    </row>
    <row r="19" spans="1:20" x14ac:dyDescent="0.3">
      <c r="A19" s="9" t="s">
        <v>130</v>
      </c>
      <c r="B19" s="9" t="s">
        <v>53</v>
      </c>
      <c r="C19" s="9" t="s">
        <v>90</v>
      </c>
      <c r="D19" s="9" t="s">
        <v>91</v>
      </c>
      <c r="E19" s="9" t="s">
        <v>131</v>
      </c>
      <c r="F19" s="9" t="s">
        <v>75</v>
      </c>
      <c r="G19" s="9" t="s">
        <v>76</v>
      </c>
      <c r="H19" s="12">
        <v>44191</v>
      </c>
      <c r="I19" s="13">
        <v>634000</v>
      </c>
      <c r="J19" s="9" t="s">
        <v>88</v>
      </c>
      <c r="K19" s="9">
        <v>8</v>
      </c>
      <c r="L19" s="9" t="s">
        <v>108</v>
      </c>
      <c r="M19" s="9" t="s">
        <v>132</v>
      </c>
      <c r="N19" s="12">
        <v>45375</v>
      </c>
      <c r="O19" s="14">
        <f>ROUND(YEARFRAC(H19,Parametros!$B$1),1)</f>
        <v>4</v>
      </c>
      <c r="P19" s="15">
        <f>INDEX(Parametros!$B$4:$B$12,MATCH(B19,Parametros!$A$4:$A$12,0))</f>
        <v>4</v>
      </c>
      <c r="Q19" s="16">
        <f t="shared" si="0"/>
        <v>1</v>
      </c>
      <c r="R19" s="9" t="str">
        <f t="shared" si="1"/>
        <v>Obsoleto</v>
      </c>
      <c r="S19" s="9">
        <f t="shared" si="2"/>
        <v>2024</v>
      </c>
      <c r="T19" s="13">
        <f t="shared" si="3"/>
        <v>0</v>
      </c>
    </row>
    <row r="20" spans="1:20" x14ac:dyDescent="0.3">
      <c r="A20" s="9" t="s">
        <v>133</v>
      </c>
      <c r="B20" s="9" t="s">
        <v>53</v>
      </c>
      <c r="C20" s="9" t="s">
        <v>90</v>
      </c>
      <c r="D20" s="9" t="s">
        <v>113</v>
      </c>
      <c r="E20" s="9" t="s">
        <v>134</v>
      </c>
      <c r="F20" s="9" t="s">
        <v>80</v>
      </c>
      <c r="G20" s="9" t="s">
        <v>120</v>
      </c>
      <c r="H20" s="12">
        <v>44374</v>
      </c>
      <c r="I20" s="13">
        <v>656000</v>
      </c>
      <c r="J20" s="9" t="s">
        <v>82</v>
      </c>
      <c r="K20" s="9">
        <v>8</v>
      </c>
      <c r="L20" s="9" t="s">
        <v>83</v>
      </c>
      <c r="M20" s="9" t="s">
        <v>70</v>
      </c>
      <c r="N20" s="12">
        <v>45386</v>
      </c>
      <c r="O20" s="14">
        <f>ROUND(YEARFRAC(H20,Parametros!$B$1),1)</f>
        <v>3.5</v>
      </c>
      <c r="P20" s="15">
        <f>INDEX(Parametros!$B$4:$B$12,MATCH(B20,Parametros!$A$4:$A$12,0))</f>
        <v>4</v>
      </c>
      <c r="Q20" s="16">
        <f t="shared" si="0"/>
        <v>0.875</v>
      </c>
      <c r="R20" s="9" t="str">
        <f t="shared" si="1"/>
        <v>Por renovar</v>
      </c>
      <c r="S20" s="9">
        <f t="shared" si="2"/>
        <v>2025</v>
      </c>
      <c r="T20" s="13">
        <f t="shared" si="3"/>
        <v>82000</v>
      </c>
    </row>
    <row r="21" spans="1:20" x14ac:dyDescent="0.3">
      <c r="A21" s="9" t="s">
        <v>135</v>
      </c>
      <c r="B21" s="9" t="s">
        <v>53</v>
      </c>
      <c r="C21" s="9" t="s">
        <v>90</v>
      </c>
      <c r="D21" s="9" t="s">
        <v>113</v>
      </c>
      <c r="E21" s="9" t="s">
        <v>136</v>
      </c>
      <c r="F21" s="9" t="s">
        <v>80</v>
      </c>
      <c r="G21" s="9" t="s">
        <v>107</v>
      </c>
      <c r="H21" s="12">
        <v>44729</v>
      </c>
      <c r="I21" s="13">
        <v>797000</v>
      </c>
      <c r="J21" s="9" t="s">
        <v>82</v>
      </c>
      <c r="K21" s="9">
        <v>8</v>
      </c>
      <c r="L21" s="9" t="s">
        <v>83</v>
      </c>
      <c r="M21" s="9" t="s">
        <v>70</v>
      </c>
      <c r="N21" s="12">
        <v>45657</v>
      </c>
      <c r="O21" s="14">
        <f>ROUND(YEARFRAC(H21,Parametros!$B$1),1)</f>
        <v>2.5</v>
      </c>
      <c r="P21" s="15">
        <f>INDEX(Parametros!$B$4:$B$12,MATCH(B21,Parametros!$A$4:$A$12,0))</f>
        <v>4</v>
      </c>
      <c r="Q21" s="16">
        <f t="shared" si="0"/>
        <v>0.625</v>
      </c>
      <c r="R21" s="9" t="str">
        <f t="shared" si="1"/>
        <v>Vigente</v>
      </c>
      <c r="S21" s="9">
        <f t="shared" si="2"/>
        <v>2026</v>
      </c>
      <c r="T21" s="13">
        <f t="shared" si="3"/>
        <v>298875</v>
      </c>
    </row>
    <row r="22" spans="1:20" x14ac:dyDescent="0.3">
      <c r="A22" s="9" t="s">
        <v>137</v>
      </c>
      <c r="B22" s="9" t="s">
        <v>53</v>
      </c>
      <c r="C22" s="9" t="s">
        <v>72</v>
      </c>
      <c r="D22" s="9" t="s">
        <v>73</v>
      </c>
      <c r="E22" s="9" t="s">
        <v>138</v>
      </c>
      <c r="F22" s="9" t="s">
        <v>75</v>
      </c>
      <c r="G22" s="9" t="s">
        <v>139</v>
      </c>
      <c r="H22" s="12">
        <v>45012</v>
      </c>
      <c r="I22" s="13">
        <v>924000</v>
      </c>
      <c r="J22" s="9" t="s">
        <v>82</v>
      </c>
      <c r="K22" s="9">
        <v>8</v>
      </c>
      <c r="L22" s="9" t="s">
        <v>83</v>
      </c>
      <c r="M22" s="9" t="s">
        <v>70</v>
      </c>
      <c r="N22" s="12">
        <v>45600</v>
      </c>
      <c r="O22" s="14">
        <f>ROUND(YEARFRAC(H22,Parametros!$B$1),1)</f>
        <v>1.8</v>
      </c>
      <c r="P22" s="15">
        <f>INDEX(Parametros!$B$4:$B$12,MATCH(B22,Parametros!$A$4:$A$12,0))</f>
        <v>4</v>
      </c>
      <c r="Q22" s="16">
        <f t="shared" si="0"/>
        <v>0.45</v>
      </c>
      <c r="R22" s="9" t="str">
        <f t="shared" si="1"/>
        <v>Vigente</v>
      </c>
      <c r="S22" s="9">
        <f t="shared" si="2"/>
        <v>2027</v>
      </c>
      <c r="T22" s="13">
        <f t="shared" si="3"/>
        <v>508200</v>
      </c>
    </row>
    <row r="23" spans="1:20" x14ac:dyDescent="0.3">
      <c r="A23" s="9" t="s">
        <v>140</v>
      </c>
      <c r="B23" s="9" t="s">
        <v>53</v>
      </c>
      <c r="C23" s="9" t="s">
        <v>72</v>
      </c>
      <c r="D23" s="9" t="s">
        <v>73</v>
      </c>
      <c r="E23" s="9" t="s">
        <v>141</v>
      </c>
      <c r="F23" s="9" t="s">
        <v>80</v>
      </c>
      <c r="G23" s="9" t="s">
        <v>100</v>
      </c>
      <c r="H23" s="12">
        <v>44474</v>
      </c>
      <c r="I23" s="13">
        <v>678000</v>
      </c>
      <c r="J23" s="9" t="s">
        <v>82</v>
      </c>
      <c r="K23" s="9">
        <v>16</v>
      </c>
      <c r="L23" s="9" t="s">
        <v>83</v>
      </c>
      <c r="M23" s="9" t="s">
        <v>142</v>
      </c>
      <c r="N23" s="12">
        <v>45307</v>
      </c>
      <c r="O23" s="14">
        <f>ROUND(YEARFRAC(H23,Parametros!$B$1),1)</f>
        <v>3.2</v>
      </c>
      <c r="P23" s="15">
        <f>INDEX(Parametros!$B$4:$B$12,MATCH(B23,Parametros!$A$4:$A$12,0))</f>
        <v>4</v>
      </c>
      <c r="Q23" s="16">
        <f t="shared" si="0"/>
        <v>0.8</v>
      </c>
      <c r="R23" s="9" t="str">
        <f t="shared" si="1"/>
        <v>Por renovar</v>
      </c>
      <c r="S23" s="9">
        <f t="shared" si="2"/>
        <v>2025</v>
      </c>
      <c r="T23" s="13">
        <f t="shared" si="3"/>
        <v>135600</v>
      </c>
    </row>
    <row r="24" spans="1:20" x14ac:dyDescent="0.3">
      <c r="A24" s="9" t="s">
        <v>143</v>
      </c>
      <c r="B24" s="9" t="s">
        <v>53</v>
      </c>
      <c r="C24" s="9" t="s">
        <v>63</v>
      </c>
      <c r="D24" s="9" t="s">
        <v>64</v>
      </c>
      <c r="E24" s="9" t="s">
        <v>144</v>
      </c>
      <c r="F24" s="9" t="s">
        <v>66</v>
      </c>
      <c r="G24" s="9" t="s">
        <v>67</v>
      </c>
      <c r="H24" s="12">
        <v>43884</v>
      </c>
      <c r="I24" s="13">
        <v>637000</v>
      </c>
      <c r="J24" s="9" t="s">
        <v>88</v>
      </c>
      <c r="K24" s="9">
        <v>8</v>
      </c>
      <c r="L24" s="9" t="s">
        <v>108</v>
      </c>
      <c r="M24" s="9" t="s">
        <v>77</v>
      </c>
      <c r="N24" s="12">
        <v>45208</v>
      </c>
      <c r="O24" s="14">
        <f>ROUND(YEARFRAC(H24,Parametros!$B$1),1)</f>
        <v>4.9000000000000004</v>
      </c>
      <c r="P24" s="15">
        <f>INDEX(Parametros!$B$4:$B$12,MATCH(B24,Parametros!$A$4:$A$12,0))</f>
        <v>4</v>
      </c>
      <c r="Q24" s="16">
        <f t="shared" si="0"/>
        <v>1.2250000000000001</v>
      </c>
      <c r="R24" s="9" t="str">
        <f t="shared" si="1"/>
        <v>Dado de baja</v>
      </c>
      <c r="S24" s="9">
        <f t="shared" si="2"/>
        <v>2024</v>
      </c>
      <c r="T24" s="13">
        <f t="shared" si="3"/>
        <v>0</v>
      </c>
    </row>
    <row r="25" spans="1:20" x14ac:dyDescent="0.3">
      <c r="A25" s="9" t="s">
        <v>145</v>
      </c>
      <c r="B25" s="9" t="s">
        <v>53</v>
      </c>
      <c r="C25" s="9" t="s">
        <v>72</v>
      </c>
      <c r="D25" s="9" t="s">
        <v>73</v>
      </c>
      <c r="E25" s="9" t="s">
        <v>146</v>
      </c>
      <c r="F25" s="9" t="s">
        <v>80</v>
      </c>
      <c r="G25" s="9" t="s">
        <v>147</v>
      </c>
      <c r="H25" s="12">
        <v>43998</v>
      </c>
      <c r="I25" s="13">
        <v>604000</v>
      </c>
      <c r="J25" s="9" t="s">
        <v>88</v>
      </c>
      <c r="K25" s="9">
        <v>8</v>
      </c>
      <c r="L25" s="9" t="s">
        <v>108</v>
      </c>
      <c r="M25" s="9" t="s">
        <v>70</v>
      </c>
      <c r="N25" s="12">
        <v>45196</v>
      </c>
      <c r="O25" s="14">
        <f>ROUND(YEARFRAC(H25,Parametros!$B$1),1)</f>
        <v>4.5</v>
      </c>
      <c r="P25" s="15">
        <f>INDEX(Parametros!$B$4:$B$12,MATCH(B25,Parametros!$A$4:$A$12,0))</f>
        <v>4</v>
      </c>
      <c r="Q25" s="16">
        <f t="shared" si="0"/>
        <v>1.125</v>
      </c>
      <c r="R25" s="9" t="str">
        <f t="shared" si="1"/>
        <v>Obsoleto</v>
      </c>
      <c r="S25" s="9">
        <f t="shared" si="2"/>
        <v>2024</v>
      </c>
      <c r="T25" s="13">
        <f t="shared" si="3"/>
        <v>0</v>
      </c>
    </row>
    <row r="26" spans="1:20" x14ac:dyDescent="0.3">
      <c r="A26" s="9" t="s">
        <v>148</v>
      </c>
      <c r="B26" s="9" t="s">
        <v>53</v>
      </c>
      <c r="C26" s="9" t="s">
        <v>90</v>
      </c>
      <c r="D26" s="9" t="s">
        <v>91</v>
      </c>
      <c r="E26" s="9" t="s">
        <v>149</v>
      </c>
      <c r="F26" s="9" t="s">
        <v>93</v>
      </c>
      <c r="G26" s="9" t="s">
        <v>94</v>
      </c>
      <c r="H26" s="12">
        <v>44951</v>
      </c>
      <c r="I26" s="13">
        <v>887000</v>
      </c>
      <c r="J26" s="9" t="s">
        <v>82</v>
      </c>
      <c r="K26" s="9">
        <v>8</v>
      </c>
      <c r="L26" s="9" t="s">
        <v>83</v>
      </c>
      <c r="M26" s="9" t="s">
        <v>77</v>
      </c>
      <c r="N26" s="12">
        <v>45385</v>
      </c>
      <c r="O26" s="14">
        <f>ROUND(YEARFRAC(H26,Parametros!$B$1),1)</f>
        <v>1.9</v>
      </c>
      <c r="P26" s="15">
        <f>INDEX(Parametros!$B$4:$B$12,MATCH(B26,Parametros!$A$4:$A$12,0))</f>
        <v>4</v>
      </c>
      <c r="Q26" s="16">
        <f t="shared" si="0"/>
        <v>0.47499999999999998</v>
      </c>
      <c r="R26" s="9" t="str">
        <f t="shared" si="1"/>
        <v>Dado de baja</v>
      </c>
      <c r="S26" s="9">
        <f t="shared" si="2"/>
        <v>2027</v>
      </c>
      <c r="T26" s="13">
        <f t="shared" si="3"/>
        <v>465675</v>
      </c>
    </row>
    <row r="27" spans="1:20" x14ac:dyDescent="0.3">
      <c r="A27" s="9" t="s">
        <v>150</v>
      </c>
      <c r="B27" s="9" t="s">
        <v>53</v>
      </c>
      <c r="C27" s="9" t="s">
        <v>72</v>
      </c>
      <c r="D27" s="9" t="s">
        <v>73</v>
      </c>
      <c r="E27" s="9" t="s">
        <v>151</v>
      </c>
      <c r="F27" s="9" t="s">
        <v>152</v>
      </c>
      <c r="G27" s="9" t="s">
        <v>153</v>
      </c>
      <c r="H27" s="12">
        <v>44779</v>
      </c>
      <c r="I27" s="13">
        <v>579000</v>
      </c>
      <c r="J27" s="9" t="s">
        <v>82</v>
      </c>
      <c r="K27" s="9">
        <v>16</v>
      </c>
      <c r="L27" s="9" t="s">
        <v>83</v>
      </c>
      <c r="M27" s="9" t="s">
        <v>132</v>
      </c>
      <c r="N27" s="12">
        <v>45465</v>
      </c>
      <c r="O27" s="14">
        <f>ROUND(YEARFRAC(H27,Parametros!$B$1),1)</f>
        <v>2.4</v>
      </c>
      <c r="P27" s="15">
        <f>INDEX(Parametros!$B$4:$B$12,MATCH(B27,Parametros!$A$4:$A$12,0))</f>
        <v>4</v>
      </c>
      <c r="Q27" s="16">
        <f t="shared" si="0"/>
        <v>0.6</v>
      </c>
      <c r="R27" s="9" t="str">
        <f t="shared" si="1"/>
        <v>Vigente</v>
      </c>
      <c r="S27" s="9">
        <f t="shared" si="2"/>
        <v>2026</v>
      </c>
      <c r="T27" s="13">
        <f t="shared" si="3"/>
        <v>231600</v>
      </c>
    </row>
    <row r="28" spans="1:20" x14ac:dyDescent="0.3">
      <c r="A28" s="9" t="s">
        <v>154</v>
      </c>
      <c r="B28" s="9" t="s">
        <v>53</v>
      </c>
      <c r="C28" s="9" t="s">
        <v>63</v>
      </c>
      <c r="D28" s="9" t="s">
        <v>64</v>
      </c>
      <c r="E28" s="9" t="s">
        <v>155</v>
      </c>
      <c r="F28" s="9" t="s">
        <v>80</v>
      </c>
      <c r="G28" s="9" t="s">
        <v>147</v>
      </c>
      <c r="H28" s="12">
        <v>45023</v>
      </c>
      <c r="I28" s="13">
        <v>734000</v>
      </c>
      <c r="J28" s="9" t="s">
        <v>82</v>
      </c>
      <c r="K28" s="9">
        <v>8</v>
      </c>
      <c r="L28" s="9" t="s">
        <v>83</v>
      </c>
      <c r="M28" s="9" t="s">
        <v>70</v>
      </c>
      <c r="N28" s="12">
        <v>45525</v>
      </c>
      <c r="O28" s="14">
        <f>ROUND(YEARFRAC(H28,Parametros!$B$1),1)</f>
        <v>1.7</v>
      </c>
      <c r="P28" s="15">
        <f>INDEX(Parametros!$B$4:$B$12,MATCH(B28,Parametros!$A$4:$A$12,0))</f>
        <v>4</v>
      </c>
      <c r="Q28" s="16">
        <f t="shared" si="0"/>
        <v>0.42499999999999999</v>
      </c>
      <c r="R28" s="9" t="str">
        <f t="shared" si="1"/>
        <v>Vigente</v>
      </c>
      <c r="S28" s="9">
        <f t="shared" si="2"/>
        <v>2027</v>
      </c>
      <c r="T28" s="13">
        <f t="shared" si="3"/>
        <v>422050</v>
      </c>
    </row>
    <row r="29" spans="1:20" x14ac:dyDescent="0.3">
      <c r="A29" s="9" t="s">
        <v>156</v>
      </c>
      <c r="B29" s="9" t="s">
        <v>53</v>
      </c>
      <c r="C29" s="9" t="s">
        <v>90</v>
      </c>
      <c r="D29" s="9" t="s">
        <v>113</v>
      </c>
      <c r="E29" s="9" t="s">
        <v>157</v>
      </c>
      <c r="F29" s="9" t="s">
        <v>80</v>
      </c>
      <c r="G29" s="9" t="s">
        <v>123</v>
      </c>
      <c r="H29" s="12">
        <v>45440</v>
      </c>
      <c r="I29" s="13">
        <v>751000</v>
      </c>
      <c r="J29" s="9" t="s">
        <v>82</v>
      </c>
      <c r="K29" s="9">
        <v>16</v>
      </c>
      <c r="L29" s="9" t="s">
        <v>83</v>
      </c>
      <c r="M29" s="9" t="s">
        <v>70</v>
      </c>
      <c r="N29" s="12">
        <v>45536</v>
      </c>
      <c r="O29" s="14">
        <f>ROUND(YEARFRAC(H29,Parametros!$B$1),1)</f>
        <v>0.6</v>
      </c>
      <c r="P29" s="15">
        <f>INDEX(Parametros!$B$4:$B$12,MATCH(B29,Parametros!$A$4:$A$12,0))</f>
        <v>4</v>
      </c>
      <c r="Q29" s="16">
        <f t="shared" si="0"/>
        <v>0.15</v>
      </c>
      <c r="R29" s="9" t="str">
        <f t="shared" si="1"/>
        <v>Vigente</v>
      </c>
      <c r="S29" s="9">
        <f t="shared" si="2"/>
        <v>2028</v>
      </c>
      <c r="T29" s="13">
        <f t="shared" si="3"/>
        <v>638350</v>
      </c>
    </row>
    <row r="30" spans="1:20" x14ac:dyDescent="0.3">
      <c r="A30" s="9" t="s">
        <v>158</v>
      </c>
      <c r="B30" s="9" t="s">
        <v>54</v>
      </c>
      <c r="C30" s="9" t="s">
        <v>63</v>
      </c>
      <c r="D30" s="9" t="s">
        <v>159</v>
      </c>
      <c r="E30" s="9" t="s">
        <v>160</v>
      </c>
      <c r="F30" s="9" t="s">
        <v>80</v>
      </c>
      <c r="G30" s="9" t="s">
        <v>126</v>
      </c>
      <c r="H30" s="12">
        <v>43006</v>
      </c>
      <c r="I30" s="13">
        <v>464000</v>
      </c>
      <c r="J30" s="9" t="s">
        <v>88</v>
      </c>
      <c r="K30" s="9">
        <v>8</v>
      </c>
      <c r="L30" s="9" t="s">
        <v>108</v>
      </c>
      <c r="M30" s="9" t="s">
        <v>142</v>
      </c>
      <c r="N30" s="12">
        <v>45016</v>
      </c>
      <c r="O30" s="14">
        <f>ROUND(YEARFRAC(H30,Parametros!$B$1),1)</f>
        <v>7.3</v>
      </c>
      <c r="P30" s="15">
        <f>INDEX(Parametros!$B$4:$B$12,MATCH(B30,Parametros!$A$4:$A$12,0))</f>
        <v>5</v>
      </c>
      <c r="Q30" s="16">
        <f t="shared" si="0"/>
        <v>1.46</v>
      </c>
      <c r="R30" s="9" t="str">
        <f t="shared" si="1"/>
        <v>Obsoleto</v>
      </c>
      <c r="S30" s="9">
        <f t="shared" si="2"/>
        <v>2022</v>
      </c>
      <c r="T30" s="13">
        <f t="shared" si="3"/>
        <v>0</v>
      </c>
    </row>
    <row r="31" spans="1:20" x14ac:dyDescent="0.3">
      <c r="A31" s="9" t="s">
        <v>161</v>
      </c>
      <c r="B31" s="9" t="s">
        <v>54</v>
      </c>
      <c r="C31" s="9" t="s">
        <v>90</v>
      </c>
      <c r="D31" s="9" t="s">
        <v>162</v>
      </c>
      <c r="E31" s="9" t="s">
        <v>163</v>
      </c>
      <c r="F31" s="9" t="s">
        <v>75</v>
      </c>
      <c r="G31" s="9" t="s">
        <v>164</v>
      </c>
      <c r="H31" s="12">
        <v>44619</v>
      </c>
      <c r="I31" s="13">
        <v>643000</v>
      </c>
      <c r="J31" s="9" t="s">
        <v>82</v>
      </c>
      <c r="K31" s="9">
        <v>16</v>
      </c>
      <c r="L31" s="9" t="s">
        <v>83</v>
      </c>
      <c r="M31" s="9" t="s">
        <v>70</v>
      </c>
      <c r="N31" s="12">
        <v>45438</v>
      </c>
      <c r="O31" s="14">
        <f>ROUND(YEARFRAC(H31,Parametros!$B$1),1)</f>
        <v>2.8</v>
      </c>
      <c r="P31" s="15">
        <f>INDEX(Parametros!$B$4:$B$12,MATCH(B31,Parametros!$A$4:$A$12,0))</f>
        <v>5</v>
      </c>
      <c r="Q31" s="16">
        <f t="shared" si="0"/>
        <v>0.55999999999999994</v>
      </c>
      <c r="R31" s="9" t="str">
        <f t="shared" si="1"/>
        <v>Vigente</v>
      </c>
      <c r="S31" s="9">
        <f t="shared" si="2"/>
        <v>2027</v>
      </c>
      <c r="T31" s="13">
        <f t="shared" si="3"/>
        <v>282920</v>
      </c>
    </row>
    <row r="32" spans="1:20" x14ac:dyDescent="0.3">
      <c r="A32" s="9" t="s">
        <v>165</v>
      </c>
      <c r="B32" s="9" t="s">
        <v>54</v>
      </c>
      <c r="C32" s="9" t="s">
        <v>72</v>
      </c>
      <c r="D32" s="9" t="s">
        <v>166</v>
      </c>
      <c r="E32" s="9" t="s">
        <v>167</v>
      </c>
      <c r="F32" s="9" t="s">
        <v>66</v>
      </c>
      <c r="G32" s="9" t="s">
        <v>67</v>
      </c>
      <c r="H32" s="12">
        <v>43230</v>
      </c>
      <c r="I32" s="13">
        <v>657000</v>
      </c>
      <c r="J32" s="9" t="s">
        <v>88</v>
      </c>
      <c r="K32" s="9">
        <v>4</v>
      </c>
      <c r="L32" s="9" t="s">
        <v>69</v>
      </c>
      <c r="M32" s="9" t="s">
        <v>70</v>
      </c>
      <c r="N32" s="12">
        <v>45137</v>
      </c>
      <c r="O32" s="14">
        <f>ROUND(YEARFRAC(H32,Parametros!$B$1),1)</f>
        <v>6.6</v>
      </c>
      <c r="P32" s="15">
        <f>INDEX(Parametros!$B$4:$B$12,MATCH(B32,Parametros!$A$4:$A$12,0))</f>
        <v>5</v>
      </c>
      <c r="Q32" s="16">
        <f t="shared" si="0"/>
        <v>1.3199999999999998</v>
      </c>
      <c r="R32" s="9" t="str">
        <f t="shared" si="1"/>
        <v>Obsoleto</v>
      </c>
      <c r="S32" s="9">
        <f t="shared" si="2"/>
        <v>2023</v>
      </c>
      <c r="T32" s="13">
        <f t="shared" si="3"/>
        <v>0</v>
      </c>
    </row>
    <row r="33" spans="1:20" x14ac:dyDescent="0.3">
      <c r="A33" s="9" t="s">
        <v>168</v>
      </c>
      <c r="B33" s="9" t="s">
        <v>54</v>
      </c>
      <c r="C33" s="9" t="s">
        <v>63</v>
      </c>
      <c r="D33" s="9" t="s">
        <v>159</v>
      </c>
      <c r="E33" s="9" t="s">
        <v>169</v>
      </c>
      <c r="F33" s="9" t="s">
        <v>93</v>
      </c>
      <c r="G33" s="9" t="s">
        <v>170</v>
      </c>
      <c r="H33" s="12">
        <v>42896</v>
      </c>
      <c r="I33" s="13">
        <v>602000</v>
      </c>
      <c r="J33" s="9" t="s">
        <v>88</v>
      </c>
      <c r="K33" s="9">
        <v>4</v>
      </c>
      <c r="L33" s="9" t="s">
        <v>108</v>
      </c>
      <c r="M33" s="9" t="s">
        <v>70</v>
      </c>
      <c r="N33" s="12">
        <v>45161</v>
      </c>
      <c r="O33" s="14">
        <f>ROUND(YEARFRAC(H33,Parametros!$B$1),1)</f>
        <v>7.6</v>
      </c>
      <c r="P33" s="15">
        <f>INDEX(Parametros!$B$4:$B$12,MATCH(B33,Parametros!$A$4:$A$12,0))</f>
        <v>5</v>
      </c>
      <c r="Q33" s="16">
        <f t="shared" si="0"/>
        <v>1.52</v>
      </c>
      <c r="R33" s="9" t="str">
        <f t="shared" si="1"/>
        <v>Obsoleto</v>
      </c>
      <c r="S33" s="9">
        <f t="shared" si="2"/>
        <v>2022</v>
      </c>
      <c r="T33" s="13">
        <f t="shared" si="3"/>
        <v>0</v>
      </c>
    </row>
    <row r="34" spans="1:20" x14ac:dyDescent="0.3">
      <c r="A34" s="9" t="s">
        <v>171</v>
      </c>
      <c r="B34" s="9" t="s">
        <v>54</v>
      </c>
      <c r="C34" s="9" t="s">
        <v>72</v>
      </c>
      <c r="D34" s="9" t="s">
        <v>166</v>
      </c>
      <c r="E34" s="9" t="s">
        <v>172</v>
      </c>
      <c r="F34" s="9" t="s">
        <v>80</v>
      </c>
      <c r="G34" s="9" t="s">
        <v>147</v>
      </c>
      <c r="H34" s="12">
        <v>43773</v>
      </c>
      <c r="I34" s="13">
        <v>712000</v>
      </c>
      <c r="J34" s="9" t="s">
        <v>88</v>
      </c>
      <c r="K34" s="9">
        <v>8</v>
      </c>
      <c r="L34" s="9" t="s">
        <v>69</v>
      </c>
      <c r="M34" s="9" t="s">
        <v>142</v>
      </c>
      <c r="N34" s="12">
        <v>45306</v>
      </c>
      <c r="O34" s="14">
        <f>ROUND(YEARFRAC(H34,Parametros!$B$1),1)</f>
        <v>5.2</v>
      </c>
      <c r="P34" s="15">
        <f>INDEX(Parametros!$B$4:$B$12,MATCH(B34,Parametros!$A$4:$A$12,0))</f>
        <v>5</v>
      </c>
      <c r="Q34" s="16">
        <f t="shared" ref="Q34:Q65" si="4">O34/P34</f>
        <v>1.04</v>
      </c>
      <c r="R34" s="9" t="str">
        <f t="shared" ref="R34:R65" si="5">IF(M34="De baja","Dado de baja",IF(Q34&gt;=1,"Obsoleto",IF(Q34&gt;=0.75,"Por renovar","Vigente")))</f>
        <v>Obsoleto</v>
      </c>
      <c r="S34" s="9">
        <f t="shared" ref="S34:S65" si="6">YEAR(H34)+P34</f>
        <v>2024</v>
      </c>
      <c r="T34" s="13">
        <f t="shared" ref="T34:T65" si="7">ROUND(MAX(0,I34*(1-Q34)),0)</f>
        <v>0</v>
      </c>
    </row>
    <row r="35" spans="1:20" x14ac:dyDescent="0.3">
      <c r="A35" s="9" t="s">
        <v>173</v>
      </c>
      <c r="B35" s="9" t="s">
        <v>54</v>
      </c>
      <c r="C35" s="9" t="s">
        <v>90</v>
      </c>
      <c r="D35" s="9" t="s">
        <v>162</v>
      </c>
      <c r="E35" s="9" t="s">
        <v>174</v>
      </c>
      <c r="F35" s="9" t="s">
        <v>80</v>
      </c>
      <c r="G35" s="9" t="s">
        <v>126</v>
      </c>
      <c r="H35" s="12">
        <v>45428</v>
      </c>
      <c r="I35" s="13">
        <v>475000</v>
      </c>
      <c r="J35" s="9" t="s">
        <v>82</v>
      </c>
      <c r="K35" s="9">
        <v>8</v>
      </c>
      <c r="L35" s="9" t="s">
        <v>83</v>
      </c>
      <c r="M35" s="9" t="s">
        <v>77</v>
      </c>
      <c r="N35" s="12">
        <v>45657</v>
      </c>
      <c r="O35" s="14">
        <f>ROUND(YEARFRAC(H35,Parametros!$B$1),1)</f>
        <v>0.6</v>
      </c>
      <c r="P35" s="15">
        <f>INDEX(Parametros!$B$4:$B$12,MATCH(B35,Parametros!$A$4:$A$12,0))</f>
        <v>5</v>
      </c>
      <c r="Q35" s="16">
        <f t="shared" si="4"/>
        <v>0.12</v>
      </c>
      <c r="R35" s="9" t="str">
        <f t="shared" si="5"/>
        <v>Dado de baja</v>
      </c>
      <c r="S35" s="9">
        <f t="shared" si="6"/>
        <v>2029</v>
      </c>
      <c r="T35" s="13">
        <f t="shared" si="7"/>
        <v>418000</v>
      </c>
    </row>
    <row r="36" spans="1:20" x14ac:dyDescent="0.3">
      <c r="A36" s="9" t="s">
        <v>175</v>
      </c>
      <c r="B36" s="9" t="s">
        <v>54</v>
      </c>
      <c r="C36" s="9" t="s">
        <v>90</v>
      </c>
      <c r="D36" s="9" t="s">
        <v>162</v>
      </c>
      <c r="E36" s="9" t="s">
        <v>176</v>
      </c>
      <c r="F36" s="9" t="s">
        <v>152</v>
      </c>
      <c r="G36" s="9" t="s">
        <v>177</v>
      </c>
      <c r="H36" s="12">
        <v>43487</v>
      </c>
      <c r="I36" s="13">
        <v>700000</v>
      </c>
      <c r="J36" s="9" t="s">
        <v>88</v>
      </c>
      <c r="K36" s="9">
        <v>4</v>
      </c>
      <c r="L36" s="9" t="s">
        <v>69</v>
      </c>
      <c r="M36" s="9" t="s">
        <v>70</v>
      </c>
      <c r="N36" s="12">
        <v>45222</v>
      </c>
      <c r="O36" s="14">
        <f>ROUND(YEARFRAC(H36,Parametros!$B$1),1)</f>
        <v>5.9</v>
      </c>
      <c r="P36" s="15">
        <f>INDEX(Parametros!$B$4:$B$12,MATCH(B36,Parametros!$A$4:$A$12,0))</f>
        <v>5</v>
      </c>
      <c r="Q36" s="16">
        <f t="shared" si="4"/>
        <v>1.1800000000000002</v>
      </c>
      <c r="R36" s="9" t="str">
        <f t="shared" si="5"/>
        <v>Obsoleto</v>
      </c>
      <c r="S36" s="9">
        <f t="shared" si="6"/>
        <v>2024</v>
      </c>
      <c r="T36" s="13">
        <f t="shared" si="7"/>
        <v>0</v>
      </c>
    </row>
    <row r="37" spans="1:20" x14ac:dyDescent="0.3">
      <c r="A37" s="9" t="s">
        <v>178</v>
      </c>
      <c r="B37" s="9" t="s">
        <v>54</v>
      </c>
      <c r="C37" s="9" t="s">
        <v>72</v>
      </c>
      <c r="D37" s="9" t="s">
        <v>166</v>
      </c>
      <c r="E37" s="9" t="s">
        <v>179</v>
      </c>
      <c r="F37" s="9" t="s">
        <v>152</v>
      </c>
      <c r="G37" s="9" t="s">
        <v>177</v>
      </c>
      <c r="H37" s="12">
        <v>44374</v>
      </c>
      <c r="I37" s="13">
        <v>546000</v>
      </c>
      <c r="J37" s="9" t="s">
        <v>82</v>
      </c>
      <c r="K37" s="9">
        <v>8</v>
      </c>
      <c r="L37" s="9" t="s">
        <v>83</v>
      </c>
      <c r="M37" s="9" t="s">
        <v>142</v>
      </c>
      <c r="N37" s="12">
        <v>45357</v>
      </c>
      <c r="O37" s="14">
        <f>ROUND(YEARFRAC(H37,Parametros!$B$1),1)</f>
        <v>3.5</v>
      </c>
      <c r="P37" s="15">
        <f>INDEX(Parametros!$B$4:$B$12,MATCH(B37,Parametros!$A$4:$A$12,0))</f>
        <v>5</v>
      </c>
      <c r="Q37" s="16">
        <f t="shared" si="4"/>
        <v>0.7</v>
      </c>
      <c r="R37" s="9" t="str">
        <f t="shared" si="5"/>
        <v>Vigente</v>
      </c>
      <c r="S37" s="9">
        <f t="shared" si="6"/>
        <v>2026</v>
      </c>
      <c r="T37" s="13">
        <f t="shared" si="7"/>
        <v>163800</v>
      </c>
    </row>
    <row r="38" spans="1:20" x14ac:dyDescent="0.3">
      <c r="A38" s="9" t="s">
        <v>180</v>
      </c>
      <c r="B38" s="9" t="s">
        <v>54</v>
      </c>
      <c r="C38" s="9" t="s">
        <v>90</v>
      </c>
      <c r="D38" s="9" t="s">
        <v>162</v>
      </c>
      <c r="E38" s="9" t="s">
        <v>181</v>
      </c>
      <c r="F38" s="9" t="s">
        <v>152</v>
      </c>
      <c r="G38" s="9" t="s">
        <v>182</v>
      </c>
      <c r="H38" s="12">
        <v>45410</v>
      </c>
      <c r="I38" s="13">
        <v>655000</v>
      </c>
      <c r="J38" s="9" t="s">
        <v>82</v>
      </c>
      <c r="K38" s="9">
        <v>8</v>
      </c>
      <c r="L38" s="9" t="s">
        <v>83</v>
      </c>
      <c r="M38" s="9" t="s">
        <v>70</v>
      </c>
      <c r="N38" s="12">
        <v>45657</v>
      </c>
      <c r="O38" s="14">
        <f>ROUND(YEARFRAC(H38,Parametros!$B$1),1)</f>
        <v>0.7</v>
      </c>
      <c r="P38" s="15">
        <f>INDEX(Parametros!$B$4:$B$12,MATCH(B38,Parametros!$A$4:$A$12,0))</f>
        <v>5</v>
      </c>
      <c r="Q38" s="16">
        <f t="shared" si="4"/>
        <v>0.13999999999999999</v>
      </c>
      <c r="R38" s="9" t="str">
        <f t="shared" si="5"/>
        <v>Vigente</v>
      </c>
      <c r="S38" s="9">
        <f t="shared" si="6"/>
        <v>2029</v>
      </c>
      <c r="T38" s="13">
        <f t="shared" si="7"/>
        <v>563300</v>
      </c>
    </row>
    <row r="39" spans="1:20" x14ac:dyDescent="0.3">
      <c r="A39" s="9" t="s">
        <v>183</v>
      </c>
      <c r="B39" s="9" t="s">
        <v>54</v>
      </c>
      <c r="C39" s="9" t="s">
        <v>63</v>
      </c>
      <c r="D39" s="9" t="s">
        <v>159</v>
      </c>
      <c r="E39" s="9" t="s">
        <v>184</v>
      </c>
      <c r="F39" s="9" t="s">
        <v>152</v>
      </c>
      <c r="G39" s="9" t="s">
        <v>177</v>
      </c>
      <c r="H39" s="12">
        <v>44635</v>
      </c>
      <c r="I39" s="13">
        <v>454000</v>
      </c>
      <c r="J39" s="9" t="s">
        <v>82</v>
      </c>
      <c r="K39" s="9">
        <v>16</v>
      </c>
      <c r="L39" s="9" t="s">
        <v>83</v>
      </c>
      <c r="M39" s="9" t="s">
        <v>70</v>
      </c>
      <c r="N39" s="12">
        <v>45657</v>
      </c>
      <c r="O39" s="14">
        <f>ROUND(YEARFRAC(H39,Parametros!$B$1),1)</f>
        <v>2.8</v>
      </c>
      <c r="P39" s="15">
        <f>INDEX(Parametros!$B$4:$B$12,MATCH(B39,Parametros!$A$4:$A$12,0))</f>
        <v>5</v>
      </c>
      <c r="Q39" s="16">
        <f t="shared" si="4"/>
        <v>0.55999999999999994</v>
      </c>
      <c r="R39" s="9" t="str">
        <f t="shared" si="5"/>
        <v>Vigente</v>
      </c>
      <c r="S39" s="9">
        <f t="shared" si="6"/>
        <v>2027</v>
      </c>
      <c r="T39" s="13">
        <f t="shared" si="7"/>
        <v>199760</v>
      </c>
    </row>
    <row r="40" spans="1:20" x14ac:dyDescent="0.3">
      <c r="A40" s="9" t="s">
        <v>185</v>
      </c>
      <c r="B40" s="9" t="s">
        <v>54</v>
      </c>
      <c r="C40" s="9" t="s">
        <v>63</v>
      </c>
      <c r="D40" s="9" t="s">
        <v>159</v>
      </c>
      <c r="E40" s="9" t="s">
        <v>186</v>
      </c>
      <c r="F40" s="9" t="s">
        <v>86</v>
      </c>
      <c r="G40" s="9" t="s">
        <v>87</v>
      </c>
      <c r="H40" s="12">
        <v>43526</v>
      </c>
      <c r="I40" s="13">
        <v>725000</v>
      </c>
      <c r="J40" s="9" t="s">
        <v>88</v>
      </c>
      <c r="K40" s="9">
        <v>4</v>
      </c>
      <c r="L40" s="9" t="s">
        <v>69</v>
      </c>
      <c r="M40" s="9" t="s">
        <v>132</v>
      </c>
      <c r="N40" s="12">
        <v>45117</v>
      </c>
      <c r="O40" s="14">
        <f>ROUND(YEARFRAC(H40,Parametros!$B$1),1)</f>
        <v>5.8</v>
      </c>
      <c r="P40" s="15">
        <f>INDEX(Parametros!$B$4:$B$12,MATCH(B40,Parametros!$A$4:$A$12,0))</f>
        <v>5</v>
      </c>
      <c r="Q40" s="16">
        <f t="shared" si="4"/>
        <v>1.1599999999999999</v>
      </c>
      <c r="R40" s="9" t="str">
        <f t="shared" si="5"/>
        <v>Obsoleto</v>
      </c>
      <c r="S40" s="9">
        <f t="shared" si="6"/>
        <v>2024</v>
      </c>
      <c r="T40" s="13">
        <f t="shared" si="7"/>
        <v>0</v>
      </c>
    </row>
    <row r="41" spans="1:20" x14ac:dyDescent="0.3">
      <c r="A41" s="9" t="s">
        <v>187</v>
      </c>
      <c r="B41" s="9" t="s">
        <v>54</v>
      </c>
      <c r="C41" s="9" t="s">
        <v>72</v>
      </c>
      <c r="D41" s="9" t="s">
        <v>166</v>
      </c>
      <c r="E41" s="9" t="s">
        <v>188</v>
      </c>
      <c r="F41" s="9" t="s">
        <v>80</v>
      </c>
      <c r="G41" s="9" t="s">
        <v>107</v>
      </c>
      <c r="H41" s="12">
        <v>44995</v>
      </c>
      <c r="I41" s="13">
        <v>560000</v>
      </c>
      <c r="J41" s="9" t="s">
        <v>82</v>
      </c>
      <c r="K41" s="9">
        <v>16</v>
      </c>
      <c r="L41" s="9" t="s">
        <v>83</v>
      </c>
      <c r="M41" s="9" t="s">
        <v>70</v>
      </c>
      <c r="N41" s="12">
        <v>45423</v>
      </c>
      <c r="O41" s="14">
        <f>ROUND(YEARFRAC(H41,Parametros!$B$1),1)</f>
        <v>1.8</v>
      </c>
      <c r="P41" s="15">
        <f>INDEX(Parametros!$B$4:$B$12,MATCH(B41,Parametros!$A$4:$A$12,0))</f>
        <v>5</v>
      </c>
      <c r="Q41" s="16">
        <f t="shared" si="4"/>
        <v>0.36</v>
      </c>
      <c r="R41" s="9" t="str">
        <f t="shared" si="5"/>
        <v>Vigente</v>
      </c>
      <c r="S41" s="9">
        <f t="shared" si="6"/>
        <v>2028</v>
      </c>
      <c r="T41" s="13">
        <f t="shared" si="7"/>
        <v>358400</v>
      </c>
    </row>
    <row r="42" spans="1:20" x14ac:dyDescent="0.3">
      <c r="A42" s="9" t="s">
        <v>189</v>
      </c>
      <c r="B42" s="9" t="s">
        <v>54</v>
      </c>
      <c r="C42" s="9" t="s">
        <v>90</v>
      </c>
      <c r="D42" s="9" t="s">
        <v>162</v>
      </c>
      <c r="E42" s="9" t="s">
        <v>190</v>
      </c>
      <c r="F42" s="9" t="s">
        <v>75</v>
      </c>
      <c r="G42" s="9" t="s">
        <v>191</v>
      </c>
      <c r="H42" s="12">
        <v>44645</v>
      </c>
      <c r="I42" s="13">
        <v>483000</v>
      </c>
      <c r="J42" s="9" t="s">
        <v>82</v>
      </c>
      <c r="K42" s="9">
        <v>16</v>
      </c>
      <c r="L42" s="9" t="s">
        <v>83</v>
      </c>
      <c r="M42" s="9" t="s">
        <v>70</v>
      </c>
      <c r="N42" s="12">
        <v>45657</v>
      </c>
      <c r="O42" s="14">
        <f>ROUND(YEARFRAC(H42,Parametros!$B$1),1)</f>
        <v>2.8</v>
      </c>
      <c r="P42" s="15">
        <f>INDEX(Parametros!$B$4:$B$12,MATCH(B42,Parametros!$A$4:$A$12,0))</f>
        <v>5</v>
      </c>
      <c r="Q42" s="16">
        <f t="shared" si="4"/>
        <v>0.55999999999999994</v>
      </c>
      <c r="R42" s="9" t="str">
        <f t="shared" si="5"/>
        <v>Vigente</v>
      </c>
      <c r="S42" s="9">
        <f t="shared" si="6"/>
        <v>2027</v>
      </c>
      <c r="T42" s="13">
        <f t="shared" si="7"/>
        <v>212520</v>
      </c>
    </row>
    <row r="43" spans="1:20" x14ac:dyDescent="0.3">
      <c r="A43" s="9" t="s">
        <v>192</v>
      </c>
      <c r="B43" s="9" t="s">
        <v>54</v>
      </c>
      <c r="C43" s="9" t="s">
        <v>72</v>
      </c>
      <c r="D43" s="9" t="s">
        <v>166</v>
      </c>
      <c r="E43" s="9" t="s">
        <v>193</v>
      </c>
      <c r="F43" s="9" t="s">
        <v>75</v>
      </c>
      <c r="G43" s="9" t="s">
        <v>164</v>
      </c>
      <c r="H43" s="12">
        <v>45220</v>
      </c>
      <c r="I43" s="13">
        <v>539000</v>
      </c>
      <c r="J43" s="9" t="s">
        <v>82</v>
      </c>
      <c r="K43" s="9">
        <v>16</v>
      </c>
      <c r="L43" s="9" t="s">
        <v>83</v>
      </c>
      <c r="M43" s="9" t="s">
        <v>77</v>
      </c>
      <c r="N43" s="12">
        <v>45462</v>
      </c>
      <c r="O43" s="14">
        <f>ROUND(YEARFRAC(H43,Parametros!$B$1),1)</f>
        <v>1.2</v>
      </c>
      <c r="P43" s="15">
        <f>INDEX(Parametros!$B$4:$B$12,MATCH(B43,Parametros!$A$4:$A$12,0))</f>
        <v>5</v>
      </c>
      <c r="Q43" s="16">
        <f t="shared" si="4"/>
        <v>0.24</v>
      </c>
      <c r="R43" s="9" t="str">
        <f t="shared" si="5"/>
        <v>Dado de baja</v>
      </c>
      <c r="S43" s="9">
        <f t="shared" si="6"/>
        <v>2028</v>
      </c>
      <c r="T43" s="13">
        <f t="shared" si="7"/>
        <v>409640</v>
      </c>
    </row>
    <row r="44" spans="1:20" x14ac:dyDescent="0.3">
      <c r="A44" s="9" t="s">
        <v>194</v>
      </c>
      <c r="B44" s="9" t="s">
        <v>54</v>
      </c>
      <c r="C44" s="9" t="s">
        <v>63</v>
      </c>
      <c r="D44" s="9" t="s">
        <v>159</v>
      </c>
      <c r="E44" s="9" t="s">
        <v>195</v>
      </c>
      <c r="F44" s="9" t="s">
        <v>80</v>
      </c>
      <c r="G44" s="9" t="s">
        <v>120</v>
      </c>
      <c r="H44" s="12">
        <v>44445</v>
      </c>
      <c r="I44" s="13">
        <v>706000</v>
      </c>
      <c r="J44" s="9" t="s">
        <v>82</v>
      </c>
      <c r="K44" s="9">
        <v>16</v>
      </c>
      <c r="L44" s="9" t="s">
        <v>83</v>
      </c>
      <c r="M44" s="9" t="s">
        <v>70</v>
      </c>
      <c r="N44" s="12">
        <v>45259</v>
      </c>
      <c r="O44" s="14">
        <f>ROUND(YEARFRAC(H44,Parametros!$B$1),1)</f>
        <v>3.3</v>
      </c>
      <c r="P44" s="15">
        <f>INDEX(Parametros!$B$4:$B$12,MATCH(B44,Parametros!$A$4:$A$12,0))</f>
        <v>5</v>
      </c>
      <c r="Q44" s="16">
        <f t="shared" si="4"/>
        <v>0.65999999999999992</v>
      </c>
      <c r="R44" s="9" t="str">
        <f t="shared" si="5"/>
        <v>Vigente</v>
      </c>
      <c r="S44" s="9">
        <f t="shared" si="6"/>
        <v>2026</v>
      </c>
      <c r="T44" s="13">
        <f t="shared" si="7"/>
        <v>240040</v>
      </c>
    </row>
    <row r="45" spans="1:20" x14ac:dyDescent="0.3">
      <c r="A45" s="9" t="s">
        <v>196</v>
      </c>
      <c r="B45" s="9" t="s">
        <v>54</v>
      </c>
      <c r="C45" s="9" t="s">
        <v>72</v>
      </c>
      <c r="D45" s="9" t="s">
        <v>166</v>
      </c>
      <c r="E45" s="9" t="s">
        <v>197</v>
      </c>
      <c r="F45" s="9" t="s">
        <v>75</v>
      </c>
      <c r="G45" s="9" t="s">
        <v>191</v>
      </c>
      <c r="H45" s="12">
        <v>44411</v>
      </c>
      <c r="I45" s="13">
        <v>623000</v>
      </c>
      <c r="J45" s="9" t="s">
        <v>82</v>
      </c>
      <c r="K45" s="9">
        <v>8</v>
      </c>
      <c r="L45" s="9" t="s">
        <v>83</v>
      </c>
      <c r="M45" s="9" t="s">
        <v>70</v>
      </c>
      <c r="N45" s="12">
        <v>45292</v>
      </c>
      <c r="O45" s="14">
        <f>ROUND(YEARFRAC(H45,Parametros!$B$1),1)</f>
        <v>3.4</v>
      </c>
      <c r="P45" s="15">
        <f>INDEX(Parametros!$B$4:$B$12,MATCH(B45,Parametros!$A$4:$A$12,0))</f>
        <v>5</v>
      </c>
      <c r="Q45" s="16">
        <f t="shared" si="4"/>
        <v>0.67999999999999994</v>
      </c>
      <c r="R45" s="9" t="str">
        <f t="shared" si="5"/>
        <v>Vigente</v>
      </c>
      <c r="S45" s="9">
        <f t="shared" si="6"/>
        <v>2026</v>
      </c>
      <c r="T45" s="13">
        <f t="shared" si="7"/>
        <v>199360</v>
      </c>
    </row>
    <row r="46" spans="1:20" x14ac:dyDescent="0.3">
      <c r="A46" s="9" t="s">
        <v>198</v>
      </c>
      <c r="B46" s="9" t="s">
        <v>54</v>
      </c>
      <c r="C46" s="9" t="s">
        <v>72</v>
      </c>
      <c r="D46" s="9" t="s">
        <v>166</v>
      </c>
      <c r="E46" s="9" t="s">
        <v>199</v>
      </c>
      <c r="F46" s="9" t="s">
        <v>80</v>
      </c>
      <c r="G46" s="9" t="s">
        <v>147</v>
      </c>
      <c r="H46" s="12">
        <v>43469</v>
      </c>
      <c r="I46" s="13">
        <v>490000</v>
      </c>
      <c r="J46" s="9" t="s">
        <v>88</v>
      </c>
      <c r="K46" s="9">
        <v>8</v>
      </c>
      <c r="L46" s="9" t="s">
        <v>108</v>
      </c>
      <c r="M46" s="9" t="s">
        <v>77</v>
      </c>
      <c r="N46" s="12">
        <v>45152</v>
      </c>
      <c r="O46" s="14">
        <f>ROUND(YEARFRAC(H46,Parametros!$B$1),1)</f>
        <v>6</v>
      </c>
      <c r="P46" s="15">
        <f>INDEX(Parametros!$B$4:$B$12,MATCH(B46,Parametros!$A$4:$A$12,0))</f>
        <v>5</v>
      </c>
      <c r="Q46" s="16">
        <f t="shared" si="4"/>
        <v>1.2</v>
      </c>
      <c r="R46" s="9" t="str">
        <f t="shared" si="5"/>
        <v>Dado de baja</v>
      </c>
      <c r="S46" s="9">
        <f t="shared" si="6"/>
        <v>2024</v>
      </c>
      <c r="T46" s="13">
        <f t="shared" si="7"/>
        <v>0</v>
      </c>
    </row>
    <row r="47" spans="1:20" x14ac:dyDescent="0.3">
      <c r="A47" s="9" t="s">
        <v>200</v>
      </c>
      <c r="B47" s="9" t="s">
        <v>54</v>
      </c>
      <c r="C47" s="9" t="s">
        <v>63</v>
      </c>
      <c r="D47" s="9" t="s">
        <v>159</v>
      </c>
      <c r="E47" s="9" t="s">
        <v>201</v>
      </c>
      <c r="F47" s="9" t="s">
        <v>93</v>
      </c>
      <c r="G47" s="9" t="s">
        <v>94</v>
      </c>
      <c r="H47" s="12">
        <v>44073</v>
      </c>
      <c r="I47" s="13">
        <v>675000</v>
      </c>
      <c r="J47" s="9" t="s">
        <v>88</v>
      </c>
      <c r="K47" s="9">
        <v>8</v>
      </c>
      <c r="L47" s="9" t="s">
        <v>69</v>
      </c>
      <c r="M47" s="9" t="s">
        <v>142</v>
      </c>
      <c r="N47" s="12">
        <v>45482</v>
      </c>
      <c r="O47" s="14">
        <f>ROUND(YEARFRAC(H47,Parametros!$B$1),1)</f>
        <v>4.3</v>
      </c>
      <c r="P47" s="15">
        <f>INDEX(Parametros!$B$4:$B$12,MATCH(B47,Parametros!$A$4:$A$12,0))</f>
        <v>5</v>
      </c>
      <c r="Q47" s="16">
        <f t="shared" si="4"/>
        <v>0.86</v>
      </c>
      <c r="R47" s="9" t="str">
        <f t="shared" si="5"/>
        <v>Por renovar</v>
      </c>
      <c r="S47" s="9">
        <f t="shared" si="6"/>
        <v>2025</v>
      </c>
      <c r="T47" s="13">
        <f t="shared" si="7"/>
        <v>94500</v>
      </c>
    </row>
    <row r="48" spans="1:20" x14ac:dyDescent="0.3">
      <c r="A48" s="9" t="s">
        <v>202</v>
      </c>
      <c r="B48" s="9" t="s">
        <v>54</v>
      </c>
      <c r="C48" s="9" t="s">
        <v>90</v>
      </c>
      <c r="D48" s="9" t="s">
        <v>162</v>
      </c>
      <c r="E48" s="9" t="s">
        <v>203</v>
      </c>
      <c r="F48" s="9" t="s">
        <v>80</v>
      </c>
      <c r="G48" s="9" t="s">
        <v>204</v>
      </c>
      <c r="H48" s="12">
        <v>43834</v>
      </c>
      <c r="I48" s="13">
        <v>660000</v>
      </c>
      <c r="J48" s="9" t="s">
        <v>88</v>
      </c>
      <c r="K48" s="9">
        <v>8</v>
      </c>
      <c r="L48" s="9" t="s">
        <v>69</v>
      </c>
      <c r="M48" s="9" t="s">
        <v>142</v>
      </c>
      <c r="N48" s="12">
        <v>45240</v>
      </c>
      <c r="O48" s="14">
        <f>ROUND(YEARFRAC(H48,Parametros!$B$1),1)</f>
        <v>5</v>
      </c>
      <c r="P48" s="15">
        <f>INDEX(Parametros!$B$4:$B$12,MATCH(B48,Parametros!$A$4:$A$12,0))</f>
        <v>5</v>
      </c>
      <c r="Q48" s="16">
        <f t="shared" si="4"/>
        <v>1</v>
      </c>
      <c r="R48" s="9" t="str">
        <f t="shared" si="5"/>
        <v>Obsoleto</v>
      </c>
      <c r="S48" s="9">
        <f t="shared" si="6"/>
        <v>2025</v>
      </c>
      <c r="T48" s="13">
        <f t="shared" si="7"/>
        <v>0</v>
      </c>
    </row>
    <row r="49" spans="1:20" x14ac:dyDescent="0.3">
      <c r="A49" s="9" t="s">
        <v>205</v>
      </c>
      <c r="B49" s="9" t="s">
        <v>54</v>
      </c>
      <c r="C49" s="9" t="s">
        <v>72</v>
      </c>
      <c r="D49" s="9" t="s">
        <v>166</v>
      </c>
      <c r="E49" s="9" t="s">
        <v>206</v>
      </c>
      <c r="F49" s="9" t="s">
        <v>75</v>
      </c>
      <c r="G49" s="9" t="s">
        <v>191</v>
      </c>
      <c r="H49" s="12">
        <v>45049</v>
      </c>
      <c r="I49" s="13">
        <v>707000</v>
      </c>
      <c r="J49" s="9" t="s">
        <v>82</v>
      </c>
      <c r="K49" s="9">
        <v>16</v>
      </c>
      <c r="L49" s="9" t="s">
        <v>83</v>
      </c>
      <c r="M49" s="9" t="s">
        <v>70</v>
      </c>
      <c r="N49" s="12">
        <v>45657</v>
      </c>
      <c r="O49" s="14">
        <f>ROUND(YEARFRAC(H49,Parametros!$B$1),1)</f>
        <v>1.7</v>
      </c>
      <c r="P49" s="15">
        <f>INDEX(Parametros!$B$4:$B$12,MATCH(B49,Parametros!$A$4:$A$12,0))</f>
        <v>5</v>
      </c>
      <c r="Q49" s="16">
        <f t="shared" si="4"/>
        <v>0.33999999999999997</v>
      </c>
      <c r="R49" s="9" t="str">
        <f t="shared" si="5"/>
        <v>Vigente</v>
      </c>
      <c r="S49" s="9">
        <f t="shared" si="6"/>
        <v>2028</v>
      </c>
      <c r="T49" s="13">
        <f t="shared" si="7"/>
        <v>466620</v>
      </c>
    </row>
    <row r="50" spans="1:20" x14ac:dyDescent="0.3">
      <c r="A50" s="9" t="s">
        <v>207</v>
      </c>
      <c r="B50" s="9" t="s">
        <v>54</v>
      </c>
      <c r="C50" s="9" t="s">
        <v>63</v>
      </c>
      <c r="D50" s="9" t="s">
        <v>159</v>
      </c>
      <c r="E50" s="9" t="s">
        <v>208</v>
      </c>
      <c r="F50" s="9" t="s">
        <v>80</v>
      </c>
      <c r="G50" s="9" t="s">
        <v>129</v>
      </c>
      <c r="H50" s="12">
        <v>44087</v>
      </c>
      <c r="I50" s="13">
        <v>729000</v>
      </c>
      <c r="J50" s="9" t="s">
        <v>88</v>
      </c>
      <c r="K50" s="9">
        <v>4</v>
      </c>
      <c r="L50" s="9" t="s">
        <v>108</v>
      </c>
      <c r="M50" s="9" t="s">
        <v>70</v>
      </c>
      <c r="N50" s="12">
        <v>45317</v>
      </c>
      <c r="O50" s="14">
        <f>ROUND(YEARFRAC(H50,Parametros!$B$1),1)</f>
        <v>4.3</v>
      </c>
      <c r="P50" s="15">
        <f>INDEX(Parametros!$B$4:$B$12,MATCH(B50,Parametros!$A$4:$A$12,0))</f>
        <v>5</v>
      </c>
      <c r="Q50" s="16">
        <f t="shared" si="4"/>
        <v>0.86</v>
      </c>
      <c r="R50" s="9" t="str">
        <f t="shared" si="5"/>
        <v>Por renovar</v>
      </c>
      <c r="S50" s="9">
        <f t="shared" si="6"/>
        <v>2025</v>
      </c>
      <c r="T50" s="13">
        <f t="shared" si="7"/>
        <v>102060</v>
      </c>
    </row>
    <row r="51" spans="1:20" x14ac:dyDescent="0.3">
      <c r="A51" s="9" t="s">
        <v>209</v>
      </c>
      <c r="B51" s="9" t="s">
        <v>54</v>
      </c>
      <c r="C51" s="9" t="s">
        <v>90</v>
      </c>
      <c r="D51" s="9" t="s">
        <v>162</v>
      </c>
      <c r="E51" s="9" t="s">
        <v>210</v>
      </c>
      <c r="F51" s="9" t="s">
        <v>93</v>
      </c>
      <c r="G51" s="9" t="s">
        <v>170</v>
      </c>
      <c r="H51" s="12">
        <v>44620</v>
      </c>
      <c r="I51" s="13">
        <v>538000</v>
      </c>
      <c r="J51" s="9" t="s">
        <v>82</v>
      </c>
      <c r="K51" s="9">
        <v>8</v>
      </c>
      <c r="L51" s="9" t="s">
        <v>83</v>
      </c>
      <c r="M51" s="9" t="s">
        <v>70</v>
      </c>
      <c r="N51" s="12">
        <v>45521</v>
      </c>
      <c r="O51" s="14">
        <f>ROUND(YEARFRAC(H51,Parametros!$B$1),1)</f>
        <v>2.8</v>
      </c>
      <c r="P51" s="15">
        <f>INDEX(Parametros!$B$4:$B$12,MATCH(B51,Parametros!$A$4:$A$12,0))</f>
        <v>5</v>
      </c>
      <c r="Q51" s="16">
        <f t="shared" si="4"/>
        <v>0.55999999999999994</v>
      </c>
      <c r="R51" s="9" t="str">
        <f t="shared" si="5"/>
        <v>Vigente</v>
      </c>
      <c r="S51" s="9">
        <f t="shared" si="6"/>
        <v>2027</v>
      </c>
      <c r="T51" s="13">
        <f t="shared" si="7"/>
        <v>236720</v>
      </c>
    </row>
    <row r="52" spans="1:20" x14ac:dyDescent="0.3">
      <c r="A52" s="9" t="s">
        <v>211</v>
      </c>
      <c r="B52" s="9" t="s">
        <v>55</v>
      </c>
      <c r="C52" s="9" t="s">
        <v>212</v>
      </c>
      <c r="D52" s="9" t="s">
        <v>213</v>
      </c>
      <c r="E52" s="9" t="s">
        <v>214</v>
      </c>
      <c r="F52" s="9" t="s">
        <v>75</v>
      </c>
      <c r="G52" s="9" t="s">
        <v>215</v>
      </c>
      <c r="H52" s="12">
        <v>45454</v>
      </c>
      <c r="I52" s="13">
        <v>187000</v>
      </c>
      <c r="J52" s="9" t="s">
        <v>216</v>
      </c>
      <c r="K52" s="9"/>
      <c r="L52" s="9" t="s">
        <v>216</v>
      </c>
      <c r="M52" s="9" t="s">
        <v>70</v>
      </c>
      <c r="N52" s="12">
        <v>45657</v>
      </c>
      <c r="O52" s="14">
        <f>ROUND(YEARFRAC(H52,Parametros!$B$1),1)</f>
        <v>0.6</v>
      </c>
      <c r="P52" s="15">
        <f>INDEX(Parametros!$B$4:$B$12,MATCH(B52,Parametros!$A$4:$A$12,0))</f>
        <v>6</v>
      </c>
      <c r="Q52" s="16">
        <f t="shared" si="4"/>
        <v>9.9999999999999992E-2</v>
      </c>
      <c r="R52" s="9" t="str">
        <f t="shared" si="5"/>
        <v>Vigente</v>
      </c>
      <c r="S52" s="9">
        <f t="shared" si="6"/>
        <v>2030</v>
      </c>
      <c r="T52" s="13">
        <f t="shared" si="7"/>
        <v>168300</v>
      </c>
    </row>
    <row r="53" spans="1:20" x14ac:dyDescent="0.3">
      <c r="A53" s="9" t="s">
        <v>217</v>
      </c>
      <c r="B53" s="9" t="s">
        <v>55</v>
      </c>
      <c r="C53" s="9" t="s">
        <v>212</v>
      </c>
      <c r="D53" s="9" t="s">
        <v>213</v>
      </c>
      <c r="E53" s="9" t="s">
        <v>218</v>
      </c>
      <c r="F53" s="9" t="s">
        <v>80</v>
      </c>
      <c r="G53" s="9" t="s">
        <v>215</v>
      </c>
      <c r="H53" s="12">
        <v>43452</v>
      </c>
      <c r="I53" s="13">
        <v>119000</v>
      </c>
      <c r="J53" s="9" t="s">
        <v>216</v>
      </c>
      <c r="K53" s="9"/>
      <c r="L53" s="9" t="s">
        <v>216</v>
      </c>
      <c r="M53" s="9" t="s">
        <v>132</v>
      </c>
      <c r="N53" s="12">
        <v>45195</v>
      </c>
      <c r="O53" s="14">
        <f>ROUND(YEARFRAC(H53,Parametros!$B$1),1)</f>
        <v>6</v>
      </c>
      <c r="P53" s="15">
        <f>INDEX(Parametros!$B$4:$B$12,MATCH(B53,Parametros!$A$4:$A$12,0))</f>
        <v>6</v>
      </c>
      <c r="Q53" s="16">
        <f t="shared" si="4"/>
        <v>1</v>
      </c>
      <c r="R53" s="9" t="str">
        <f t="shared" si="5"/>
        <v>Obsoleto</v>
      </c>
      <c r="S53" s="9">
        <f t="shared" si="6"/>
        <v>2024</v>
      </c>
      <c r="T53" s="13">
        <f t="shared" si="7"/>
        <v>0</v>
      </c>
    </row>
    <row r="54" spans="1:20" x14ac:dyDescent="0.3">
      <c r="A54" s="9" t="s">
        <v>219</v>
      </c>
      <c r="B54" s="9" t="s">
        <v>55</v>
      </c>
      <c r="C54" s="9" t="s">
        <v>220</v>
      </c>
      <c r="D54" s="9" t="s">
        <v>221</v>
      </c>
      <c r="E54" s="9" t="s">
        <v>222</v>
      </c>
      <c r="F54" s="9" t="s">
        <v>80</v>
      </c>
      <c r="G54" s="9" t="s">
        <v>215</v>
      </c>
      <c r="H54" s="12">
        <v>44694</v>
      </c>
      <c r="I54" s="13">
        <v>178000</v>
      </c>
      <c r="J54" s="9" t="s">
        <v>216</v>
      </c>
      <c r="K54" s="9"/>
      <c r="L54" s="9" t="s">
        <v>216</v>
      </c>
      <c r="M54" s="9" t="s">
        <v>70</v>
      </c>
      <c r="N54" s="12">
        <v>45485</v>
      </c>
      <c r="O54" s="14">
        <f>ROUND(YEARFRAC(H54,Parametros!$B$1),1)</f>
        <v>2.6</v>
      </c>
      <c r="P54" s="15">
        <f>INDEX(Parametros!$B$4:$B$12,MATCH(B54,Parametros!$A$4:$A$12,0))</f>
        <v>6</v>
      </c>
      <c r="Q54" s="16">
        <f t="shared" si="4"/>
        <v>0.43333333333333335</v>
      </c>
      <c r="R54" s="9" t="str">
        <f t="shared" si="5"/>
        <v>Vigente</v>
      </c>
      <c r="S54" s="9">
        <f t="shared" si="6"/>
        <v>2028</v>
      </c>
      <c r="T54" s="13">
        <f t="shared" si="7"/>
        <v>100867</v>
      </c>
    </row>
    <row r="55" spans="1:20" x14ac:dyDescent="0.3">
      <c r="A55" s="9" t="s">
        <v>223</v>
      </c>
      <c r="B55" s="9" t="s">
        <v>55</v>
      </c>
      <c r="C55" s="9" t="s">
        <v>72</v>
      </c>
      <c r="D55" s="9" t="s">
        <v>224</v>
      </c>
      <c r="E55" s="9" t="s">
        <v>225</v>
      </c>
      <c r="F55" s="9" t="s">
        <v>80</v>
      </c>
      <c r="G55" s="9" t="s">
        <v>215</v>
      </c>
      <c r="H55" s="12">
        <v>44499</v>
      </c>
      <c r="I55" s="13">
        <v>112000</v>
      </c>
      <c r="J55" s="9" t="s">
        <v>216</v>
      </c>
      <c r="K55" s="9"/>
      <c r="L55" s="9" t="s">
        <v>216</v>
      </c>
      <c r="M55" s="9" t="s">
        <v>70</v>
      </c>
      <c r="N55" s="12">
        <v>45560</v>
      </c>
      <c r="O55" s="14">
        <f>ROUND(YEARFRAC(H55,Parametros!$B$1),1)</f>
        <v>3.2</v>
      </c>
      <c r="P55" s="15">
        <f>INDEX(Parametros!$B$4:$B$12,MATCH(B55,Parametros!$A$4:$A$12,0))</f>
        <v>6</v>
      </c>
      <c r="Q55" s="16">
        <f t="shared" si="4"/>
        <v>0.53333333333333333</v>
      </c>
      <c r="R55" s="9" t="str">
        <f t="shared" si="5"/>
        <v>Vigente</v>
      </c>
      <c r="S55" s="9">
        <f t="shared" si="6"/>
        <v>2027</v>
      </c>
      <c r="T55" s="13">
        <f t="shared" si="7"/>
        <v>52267</v>
      </c>
    </row>
    <row r="56" spans="1:20" x14ac:dyDescent="0.3">
      <c r="A56" s="9" t="s">
        <v>226</v>
      </c>
      <c r="B56" s="9" t="s">
        <v>55</v>
      </c>
      <c r="C56" s="9" t="s">
        <v>72</v>
      </c>
      <c r="D56" s="9" t="s">
        <v>224</v>
      </c>
      <c r="E56" s="9" t="s">
        <v>227</v>
      </c>
      <c r="F56" s="9" t="s">
        <v>228</v>
      </c>
      <c r="G56" s="9" t="s">
        <v>215</v>
      </c>
      <c r="H56" s="12">
        <v>44587</v>
      </c>
      <c r="I56" s="13">
        <v>112000</v>
      </c>
      <c r="J56" s="9" t="s">
        <v>216</v>
      </c>
      <c r="K56" s="9"/>
      <c r="L56" s="9" t="s">
        <v>216</v>
      </c>
      <c r="M56" s="9" t="s">
        <v>70</v>
      </c>
      <c r="N56" s="12">
        <v>45644</v>
      </c>
      <c r="O56" s="14">
        <f>ROUND(YEARFRAC(H56,Parametros!$B$1),1)</f>
        <v>2.9</v>
      </c>
      <c r="P56" s="15">
        <f>INDEX(Parametros!$B$4:$B$12,MATCH(B56,Parametros!$A$4:$A$12,0))</f>
        <v>6</v>
      </c>
      <c r="Q56" s="16">
        <f t="shared" si="4"/>
        <v>0.48333333333333334</v>
      </c>
      <c r="R56" s="9" t="str">
        <f t="shared" si="5"/>
        <v>Vigente</v>
      </c>
      <c r="S56" s="9">
        <f t="shared" si="6"/>
        <v>2028</v>
      </c>
      <c r="T56" s="13">
        <f t="shared" si="7"/>
        <v>57867</v>
      </c>
    </row>
    <row r="57" spans="1:20" x14ac:dyDescent="0.3">
      <c r="A57" s="9" t="s">
        <v>229</v>
      </c>
      <c r="B57" s="9" t="s">
        <v>55</v>
      </c>
      <c r="C57" s="9" t="s">
        <v>220</v>
      </c>
      <c r="D57" s="9" t="s">
        <v>221</v>
      </c>
      <c r="E57" s="9" t="s">
        <v>230</v>
      </c>
      <c r="F57" s="9" t="s">
        <v>86</v>
      </c>
      <c r="G57" s="9" t="s">
        <v>215</v>
      </c>
      <c r="H57" s="12">
        <v>44900</v>
      </c>
      <c r="I57" s="13">
        <v>157000</v>
      </c>
      <c r="J57" s="9" t="s">
        <v>216</v>
      </c>
      <c r="K57" s="9"/>
      <c r="L57" s="9" t="s">
        <v>216</v>
      </c>
      <c r="M57" s="9" t="s">
        <v>70</v>
      </c>
      <c r="N57" s="12">
        <v>45618</v>
      </c>
      <c r="O57" s="14">
        <f>ROUND(YEARFRAC(H57,Parametros!$B$1),1)</f>
        <v>2.1</v>
      </c>
      <c r="P57" s="15">
        <f>INDEX(Parametros!$B$4:$B$12,MATCH(B57,Parametros!$A$4:$A$12,0))</f>
        <v>6</v>
      </c>
      <c r="Q57" s="16">
        <f t="shared" si="4"/>
        <v>0.35000000000000003</v>
      </c>
      <c r="R57" s="9" t="str">
        <f t="shared" si="5"/>
        <v>Vigente</v>
      </c>
      <c r="S57" s="9">
        <f t="shared" si="6"/>
        <v>2028</v>
      </c>
      <c r="T57" s="13">
        <f t="shared" si="7"/>
        <v>102050</v>
      </c>
    </row>
    <row r="58" spans="1:20" x14ac:dyDescent="0.3">
      <c r="A58" s="9" t="s">
        <v>231</v>
      </c>
      <c r="B58" s="9" t="s">
        <v>55</v>
      </c>
      <c r="C58" s="9" t="s">
        <v>220</v>
      </c>
      <c r="D58" s="9" t="s">
        <v>221</v>
      </c>
      <c r="E58" s="9" t="s">
        <v>232</v>
      </c>
      <c r="F58" s="9" t="s">
        <v>80</v>
      </c>
      <c r="G58" s="9" t="s">
        <v>215</v>
      </c>
      <c r="H58" s="12">
        <v>42400</v>
      </c>
      <c r="I58" s="13">
        <v>186000</v>
      </c>
      <c r="J58" s="9" t="s">
        <v>216</v>
      </c>
      <c r="K58" s="9"/>
      <c r="L58" s="9" t="s">
        <v>216</v>
      </c>
      <c r="M58" s="9" t="s">
        <v>77</v>
      </c>
      <c r="N58" s="12">
        <v>45151</v>
      </c>
      <c r="O58" s="14">
        <f>ROUND(YEARFRAC(H58,Parametros!$B$1),1)</f>
        <v>8.9</v>
      </c>
      <c r="P58" s="15">
        <f>INDEX(Parametros!$B$4:$B$12,MATCH(B58,Parametros!$A$4:$A$12,0))</f>
        <v>6</v>
      </c>
      <c r="Q58" s="16">
        <f t="shared" si="4"/>
        <v>1.4833333333333334</v>
      </c>
      <c r="R58" s="9" t="str">
        <f t="shared" si="5"/>
        <v>Dado de baja</v>
      </c>
      <c r="S58" s="9">
        <f t="shared" si="6"/>
        <v>2022</v>
      </c>
      <c r="T58" s="13">
        <f t="shared" si="7"/>
        <v>0</v>
      </c>
    </row>
    <row r="59" spans="1:20" x14ac:dyDescent="0.3">
      <c r="A59" s="9" t="s">
        <v>233</v>
      </c>
      <c r="B59" s="9" t="s">
        <v>55</v>
      </c>
      <c r="C59" s="9" t="s">
        <v>220</v>
      </c>
      <c r="D59" s="9" t="s">
        <v>221</v>
      </c>
      <c r="E59" s="9" t="s">
        <v>234</v>
      </c>
      <c r="F59" s="9" t="s">
        <v>80</v>
      </c>
      <c r="G59" s="9" t="s">
        <v>215</v>
      </c>
      <c r="H59" s="12">
        <v>44311</v>
      </c>
      <c r="I59" s="13">
        <v>128000</v>
      </c>
      <c r="J59" s="9" t="s">
        <v>216</v>
      </c>
      <c r="K59" s="9"/>
      <c r="L59" s="9" t="s">
        <v>216</v>
      </c>
      <c r="M59" s="9" t="s">
        <v>70</v>
      </c>
      <c r="N59" s="12">
        <v>45192</v>
      </c>
      <c r="O59" s="14">
        <f>ROUND(YEARFRAC(H59,Parametros!$B$1),1)</f>
        <v>3.7</v>
      </c>
      <c r="P59" s="15">
        <f>INDEX(Parametros!$B$4:$B$12,MATCH(B59,Parametros!$A$4:$A$12,0))</f>
        <v>6</v>
      </c>
      <c r="Q59" s="16">
        <f t="shared" si="4"/>
        <v>0.6166666666666667</v>
      </c>
      <c r="R59" s="9" t="str">
        <f t="shared" si="5"/>
        <v>Vigente</v>
      </c>
      <c r="S59" s="9">
        <f t="shared" si="6"/>
        <v>2027</v>
      </c>
      <c r="T59" s="13">
        <f t="shared" si="7"/>
        <v>49067</v>
      </c>
    </row>
    <row r="60" spans="1:20" x14ac:dyDescent="0.3">
      <c r="A60" s="9" t="s">
        <v>235</v>
      </c>
      <c r="B60" s="9" t="s">
        <v>55</v>
      </c>
      <c r="C60" s="9" t="s">
        <v>72</v>
      </c>
      <c r="D60" s="9" t="s">
        <v>224</v>
      </c>
      <c r="E60" s="9" t="s">
        <v>236</v>
      </c>
      <c r="F60" s="9" t="s">
        <v>75</v>
      </c>
      <c r="G60" s="9" t="s">
        <v>215</v>
      </c>
      <c r="H60" s="12">
        <v>44923</v>
      </c>
      <c r="I60" s="13">
        <v>163000</v>
      </c>
      <c r="J60" s="9" t="s">
        <v>216</v>
      </c>
      <c r="K60" s="9"/>
      <c r="L60" s="9" t="s">
        <v>216</v>
      </c>
      <c r="M60" s="9" t="s">
        <v>70</v>
      </c>
      <c r="N60" s="12">
        <v>45395</v>
      </c>
      <c r="O60" s="14">
        <f>ROUND(YEARFRAC(H60,Parametros!$B$1),1)</f>
        <v>2</v>
      </c>
      <c r="P60" s="15">
        <f>INDEX(Parametros!$B$4:$B$12,MATCH(B60,Parametros!$A$4:$A$12,0))</f>
        <v>6</v>
      </c>
      <c r="Q60" s="16">
        <f t="shared" si="4"/>
        <v>0.33333333333333331</v>
      </c>
      <c r="R60" s="9" t="str">
        <f t="shared" si="5"/>
        <v>Vigente</v>
      </c>
      <c r="S60" s="9">
        <f t="shared" si="6"/>
        <v>2028</v>
      </c>
      <c r="T60" s="13">
        <f t="shared" si="7"/>
        <v>108667</v>
      </c>
    </row>
    <row r="61" spans="1:20" x14ac:dyDescent="0.3">
      <c r="A61" s="9" t="s">
        <v>237</v>
      </c>
      <c r="B61" s="9" t="s">
        <v>55</v>
      </c>
      <c r="C61" s="9" t="s">
        <v>212</v>
      </c>
      <c r="D61" s="9" t="s">
        <v>213</v>
      </c>
      <c r="E61" s="9" t="s">
        <v>238</v>
      </c>
      <c r="F61" s="9" t="s">
        <v>93</v>
      </c>
      <c r="G61" s="9" t="s">
        <v>215</v>
      </c>
      <c r="H61" s="12">
        <v>42826</v>
      </c>
      <c r="I61" s="13">
        <v>122000</v>
      </c>
      <c r="J61" s="9" t="s">
        <v>216</v>
      </c>
      <c r="K61" s="9"/>
      <c r="L61" s="9" t="s">
        <v>216</v>
      </c>
      <c r="M61" s="9" t="s">
        <v>132</v>
      </c>
      <c r="N61" s="12">
        <v>45131</v>
      </c>
      <c r="O61" s="14">
        <f>ROUND(YEARFRAC(H61,Parametros!$B$1),1)</f>
        <v>7.8</v>
      </c>
      <c r="P61" s="15">
        <f>INDEX(Parametros!$B$4:$B$12,MATCH(B61,Parametros!$A$4:$A$12,0))</f>
        <v>6</v>
      </c>
      <c r="Q61" s="16">
        <f t="shared" si="4"/>
        <v>1.3</v>
      </c>
      <c r="R61" s="9" t="str">
        <f t="shared" si="5"/>
        <v>Obsoleto</v>
      </c>
      <c r="S61" s="9">
        <f t="shared" si="6"/>
        <v>2023</v>
      </c>
      <c r="T61" s="13">
        <f t="shared" si="7"/>
        <v>0</v>
      </c>
    </row>
    <row r="62" spans="1:20" x14ac:dyDescent="0.3">
      <c r="A62" s="9" t="s">
        <v>239</v>
      </c>
      <c r="B62" s="9" t="s">
        <v>56</v>
      </c>
      <c r="C62" s="9" t="s">
        <v>240</v>
      </c>
      <c r="D62" s="9" t="s">
        <v>241</v>
      </c>
      <c r="E62" s="9" t="s">
        <v>242</v>
      </c>
      <c r="F62" s="9" t="s">
        <v>80</v>
      </c>
      <c r="G62" s="9" t="s">
        <v>215</v>
      </c>
      <c r="H62" s="12">
        <v>44262</v>
      </c>
      <c r="I62" s="13">
        <v>814000</v>
      </c>
      <c r="J62" s="9" t="s">
        <v>216</v>
      </c>
      <c r="K62" s="9"/>
      <c r="L62" s="9" t="s">
        <v>216</v>
      </c>
      <c r="M62" s="9" t="s">
        <v>70</v>
      </c>
      <c r="N62" s="12">
        <v>45493</v>
      </c>
      <c r="O62" s="14">
        <f>ROUND(YEARFRAC(H62,Parametros!$B$1),1)</f>
        <v>3.8</v>
      </c>
      <c r="P62" s="15">
        <f>INDEX(Parametros!$B$4:$B$12,MATCH(B62,Parametros!$A$4:$A$12,0))</f>
        <v>5</v>
      </c>
      <c r="Q62" s="16">
        <f t="shared" si="4"/>
        <v>0.76</v>
      </c>
      <c r="R62" s="9" t="str">
        <f t="shared" si="5"/>
        <v>Por renovar</v>
      </c>
      <c r="S62" s="9">
        <f t="shared" si="6"/>
        <v>2026</v>
      </c>
      <c r="T62" s="13">
        <f t="shared" si="7"/>
        <v>195360</v>
      </c>
    </row>
    <row r="63" spans="1:20" x14ac:dyDescent="0.3">
      <c r="A63" s="9" t="s">
        <v>243</v>
      </c>
      <c r="B63" s="9" t="s">
        <v>56</v>
      </c>
      <c r="C63" s="9" t="s">
        <v>240</v>
      </c>
      <c r="D63" s="9" t="s">
        <v>241</v>
      </c>
      <c r="E63" s="9" t="s">
        <v>244</v>
      </c>
      <c r="F63" s="9" t="s">
        <v>228</v>
      </c>
      <c r="G63" s="9" t="s">
        <v>215</v>
      </c>
      <c r="H63" s="12">
        <v>44723</v>
      </c>
      <c r="I63" s="13">
        <v>439000</v>
      </c>
      <c r="J63" s="9" t="s">
        <v>216</v>
      </c>
      <c r="K63" s="9"/>
      <c r="L63" s="9" t="s">
        <v>216</v>
      </c>
      <c r="M63" s="9" t="s">
        <v>77</v>
      </c>
      <c r="N63" s="12">
        <v>45528</v>
      </c>
      <c r="O63" s="14">
        <f>ROUND(YEARFRAC(H63,Parametros!$B$1),1)</f>
        <v>2.6</v>
      </c>
      <c r="P63" s="15">
        <f>INDEX(Parametros!$B$4:$B$12,MATCH(B63,Parametros!$A$4:$A$12,0))</f>
        <v>5</v>
      </c>
      <c r="Q63" s="16">
        <f t="shared" si="4"/>
        <v>0.52</v>
      </c>
      <c r="R63" s="9" t="str">
        <f t="shared" si="5"/>
        <v>Dado de baja</v>
      </c>
      <c r="S63" s="9">
        <f t="shared" si="6"/>
        <v>2027</v>
      </c>
      <c r="T63" s="13">
        <f t="shared" si="7"/>
        <v>210720</v>
      </c>
    </row>
    <row r="64" spans="1:20" x14ac:dyDescent="0.3">
      <c r="A64" s="9" t="s">
        <v>245</v>
      </c>
      <c r="B64" s="9" t="s">
        <v>56</v>
      </c>
      <c r="C64" s="9" t="s">
        <v>240</v>
      </c>
      <c r="D64" s="9" t="s">
        <v>241</v>
      </c>
      <c r="E64" s="9" t="s">
        <v>246</v>
      </c>
      <c r="F64" s="9" t="s">
        <v>152</v>
      </c>
      <c r="G64" s="9" t="s">
        <v>215</v>
      </c>
      <c r="H64" s="12">
        <v>44074</v>
      </c>
      <c r="I64" s="13">
        <v>547000</v>
      </c>
      <c r="J64" s="9" t="s">
        <v>216</v>
      </c>
      <c r="K64" s="9"/>
      <c r="L64" s="9" t="s">
        <v>216</v>
      </c>
      <c r="M64" s="9" t="s">
        <v>70</v>
      </c>
      <c r="N64" s="12">
        <v>45441</v>
      </c>
      <c r="O64" s="14">
        <f>ROUND(YEARFRAC(H64,Parametros!$B$1),1)</f>
        <v>4.3</v>
      </c>
      <c r="P64" s="15">
        <f>INDEX(Parametros!$B$4:$B$12,MATCH(B64,Parametros!$A$4:$A$12,0))</f>
        <v>5</v>
      </c>
      <c r="Q64" s="16">
        <f t="shared" si="4"/>
        <v>0.86</v>
      </c>
      <c r="R64" s="9" t="str">
        <f t="shared" si="5"/>
        <v>Por renovar</v>
      </c>
      <c r="S64" s="9">
        <f t="shared" si="6"/>
        <v>2025</v>
      </c>
      <c r="T64" s="13">
        <f t="shared" si="7"/>
        <v>76580</v>
      </c>
    </row>
    <row r="65" spans="1:20" x14ac:dyDescent="0.3">
      <c r="A65" s="9" t="s">
        <v>247</v>
      </c>
      <c r="B65" s="9" t="s">
        <v>56</v>
      </c>
      <c r="C65" s="9" t="s">
        <v>63</v>
      </c>
      <c r="D65" s="9" t="s">
        <v>248</v>
      </c>
      <c r="E65" s="9" t="s">
        <v>249</v>
      </c>
      <c r="F65" s="9" t="s">
        <v>75</v>
      </c>
      <c r="G65" s="9" t="s">
        <v>215</v>
      </c>
      <c r="H65" s="12">
        <v>45040</v>
      </c>
      <c r="I65" s="13">
        <v>946000</v>
      </c>
      <c r="J65" s="9" t="s">
        <v>216</v>
      </c>
      <c r="K65" s="9"/>
      <c r="L65" s="9" t="s">
        <v>216</v>
      </c>
      <c r="M65" s="9" t="s">
        <v>70</v>
      </c>
      <c r="N65" s="12">
        <v>45657</v>
      </c>
      <c r="O65" s="14">
        <f>ROUND(YEARFRAC(H65,Parametros!$B$1),1)</f>
        <v>1.7</v>
      </c>
      <c r="P65" s="15">
        <f>INDEX(Parametros!$B$4:$B$12,MATCH(B65,Parametros!$A$4:$A$12,0))</f>
        <v>5</v>
      </c>
      <c r="Q65" s="16">
        <f t="shared" si="4"/>
        <v>0.33999999999999997</v>
      </c>
      <c r="R65" s="9" t="str">
        <f t="shared" si="5"/>
        <v>Vigente</v>
      </c>
      <c r="S65" s="9">
        <f t="shared" si="6"/>
        <v>2028</v>
      </c>
      <c r="T65" s="13">
        <f t="shared" si="7"/>
        <v>624360</v>
      </c>
    </row>
    <row r="66" spans="1:20" x14ac:dyDescent="0.3">
      <c r="A66" s="9" t="s">
        <v>250</v>
      </c>
      <c r="B66" s="9" t="s">
        <v>56</v>
      </c>
      <c r="C66" s="9" t="s">
        <v>63</v>
      </c>
      <c r="D66" s="9" t="s">
        <v>248</v>
      </c>
      <c r="E66" s="9" t="s">
        <v>251</v>
      </c>
      <c r="F66" s="9" t="s">
        <v>80</v>
      </c>
      <c r="G66" s="9" t="s">
        <v>215</v>
      </c>
      <c r="H66" s="12">
        <v>42686</v>
      </c>
      <c r="I66" s="13">
        <v>468000</v>
      </c>
      <c r="J66" s="9" t="s">
        <v>216</v>
      </c>
      <c r="K66" s="9"/>
      <c r="L66" s="9" t="s">
        <v>216</v>
      </c>
      <c r="M66" s="9" t="s">
        <v>77</v>
      </c>
      <c r="N66" s="12">
        <v>45081</v>
      </c>
      <c r="O66" s="14">
        <f>ROUND(YEARFRAC(H66,Parametros!$B$1),1)</f>
        <v>8.1</v>
      </c>
      <c r="P66" s="15">
        <f>INDEX(Parametros!$B$4:$B$12,MATCH(B66,Parametros!$A$4:$A$12,0))</f>
        <v>5</v>
      </c>
      <c r="Q66" s="16">
        <f t="shared" ref="Q66:Q97" si="8">O66/P66</f>
        <v>1.6199999999999999</v>
      </c>
      <c r="R66" s="9" t="str">
        <f t="shared" ref="R66:R97" si="9">IF(M66="De baja","Dado de baja",IF(Q66&gt;=1,"Obsoleto",IF(Q66&gt;=0.75,"Por renovar","Vigente")))</f>
        <v>Dado de baja</v>
      </c>
      <c r="S66" s="9">
        <f t="shared" ref="S66:S91" si="10">YEAR(H66)+P66</f>
        <v>2021</v>
      </c>
      <c r="T66" s="13">
        <f t="shared" ref="T66:T91" si="11">ROUND(MAX(0,I66*(1-Q66)),0)</f>
        <v>0</v>
      </c>
    </row>
    <row r="67" spans="1:20" x14ac:dyDescent="0.3">
      <c r="A67" s="9" t="s">
        <v>252</v>
      </c>
      <c r="B67" s="9" t="s">
        <v>56</v>
      </c>
      <c r="C67" s="9" t="s">
        <v>63</v>
      </c>
      <c r="D67" s="9" t="s">
        <v>248</v>
      </c>
      <c r="E67" s="9" t="s">
        <v>253</v>
      </c>
      <c r="F67" s="9" t="s">
        <v>228</v>
      </c>
      <c r="G67" s="9" t="s">
        <v>215</v>
      </c>
      <c r="H67" s="12">
        <v>45045</v>
      </c>
      <c r="I67" s="13">
        <v>770000</v>
      </c>
      <c r="J67" s="9" t="s">
        <v>216</v>
      </c>
      <c r="K67" s="9"/>
      <c r="L67" s="9" t="s">
        <v>216</v>
      </c>
      <c r="M67" s="9" t="s">
        <v>70</v>
      </c>
      <c r="N67" s="12">
        <v>45489</v>
      </c>
      <c r="O67" s="14">
        <f>ROUND(YEARFRAC(H67,Parametros!$B$1),1)</f>
        <v>1.7</v>
      </c>
      <c r="P67" s="15">
        <f>INDEX(Parametros!$B$4:$B$12,MATCH(B67,Parametros!$A$4:$A$12,0))</f>
        <v>5</v>
      </c>
      <c r="Q67" s="16">
        <f t="shared" si="8"/>
        <v>0.33999999999999997</v>
      </c>
      <c r="R67" s="9" t="str">
        <f t="shared" si="9"/>
        <v>Vigente</v>
      </c>
      <c r="S67" s="9">
        <f t="shared" si="10"/>
        <v>2028</v>
      </c>
      <c r="T67" s="13">
        <f t="shared" si="11"/>
        <v>508200</v>
      </c>
    </row>
    <row r="68" spans="1:20" x14ac:dyDescent="0.3">
      <c r="A68" s="9" t="s">
        <v>254</v>
      </c>
      <c r="B68" s="9" t="s">
        <v>56</v>
      </c>
      <c r="C68" s="9" t="s">
        <v>63</v>
      </c>
      <c r="D68" s="9" t="s">
        <v>248</v>
      </c>
      <c r="E68" s="9" t="s">
        <v>255</v>
      </c>
      <c r="F68" s="9" t="s">
        <v>80</v>
      </c>
      <c r="G68" s="9" t="s">
        <v>215</v>
      </c>
      <c r="H68" s="12">
        <v>43549</v>
      </c>
      <c r="I68" s="13">
        <v>330000</v>
      </c>
      <c r="J68" s="9" t="s">
        <v>216</v>
      </c>
      <c r="K68" s="9"/>
      <c r="L68" s="9" t="s">
        <v>216</v>
      </c>
      <c r="M68" s="9" t="s">
        <v>142</v>
      </c>
      <c r="N68" s="12">
        <v>45187</v>
      </c>
      <c r="O68" s="14">
        <f>ROUND(YEARFRAC(H68,Parametros!$B$1),1)</f>
        <v>5.8</v>
      </c>
      <c r="P68" s="15">
        <f>INDEX(Parametros!$B$4:$B$12,MATCH(B68,Parametros!$A$4:$A$12,0))</f>
        <v>5</v>
      </c>
      <c r="Q68" s="16">
        <f t="shared" si="8"/>
        <v>1.1599999999999999</v>
      </c>
      <c r="R68" s="9" t="str">
        <f t="shared" si="9"/>
        <v>Obsoleto</v>
      </c>
      <c r="S68" s="9">
        <f t="shared" si="10"/>
        <v>2024</v>
      </c>
      <c r="T68" s="13">
        <f t="shared" si="11"/>
        <v>0</v>
      </c>
    </row>
    <row r="69" spans="1:20" x14ac:dyDescent="0.3">
      <c r="A69" s="9" t="s">
        <v>256</v>
      </c>
      <c r="B69" s="9" t="s">
        <v>56</v>
      </c>
      <c r="C69" s="9" t="s">
        <v>257</v>
      </c>
      <c r="D69" s="9" t="s">
        <v>258</v>
      </c>
      <c r="E69" s="9" t="s">
        <v>259</v>
      </c>
      <c r="F69" s="9" t="s">
        <v>86</v>
      </c>
      <c r="G69" s="9" t="s">
        <v>215</v>
      </c>
      <c r="H69" s="12">
        <v>44709</v>
      </c>
      <c r="I69" s="13">
        <v>192000</v>
      </c>
      <c r="J69" s="9" t="s">
        <v>216</v>
      </c>
      <c r="K69" s="9"/>
      <c r="L69" s="9" t="s">
        <v>216</v>
      </c>
      <c r="M69" s="9" t="s">
        <v>70</v>
      </c>
      <c r="N69" s="12">
        <v>45657</v>
      </c>
      <c r="O69" s="14">
        <f>ROUND(YEARFRAC(H69,Parametros!$B$1),1)</f>
        <v>2.6</v>
      </c>
      <c r="P69" s="15">
        <f>INDEX(Parametros!$B$4:$B$12,MATCH(B69,Parametros!$A$4:$A$12,0))</f>
        <v>5</v>
      </c>
      <c r="Q69" s="16">
        <f t="shared" si="8"/>
        <v>0.52</v>
      </c>
      <c r="R69" s="9" t="str">
        <f t="shared" si="9"/>
        <v>Vigente</v>
      </c>
      <c r="S69" s="9">
        <f t="shared" si="10"/>
        <v>2027</v>
      </c>
      <c r="T69" s="13">
        <f t="shared" si="11"/>
        <v>92160</v>
      </c>
    </row>
    <row r="70" spans="1:20" x14ac:dyDescent="0.3">
      <c r="A70" s="9" t="s">
        <v>260</v>
      </c>
      <c r="B70" s="9" t="s">
        <v>57</v>
      </c>
      <c r="C70" s="9" t="s">
        <v>63</v>
      </c>
      <c r="D70" s="9" t="s">
        <v>261</v>
      </c>
      <c r="E70" s="9" t="s">
        <v>262</v>
      </c>
      <c r="F70" s="9" t="s">
        <v>152</v>
      </c>
      <c r="G70" s="9" t="s">
        <v>215</v>
      </c>
      <c r="H70" s="12">
        <v>42635</v>
      </c>
      <c r="I70" s="13">
        <v>4499000</v>
      </c>
      <c r="J70" s="9" t="s">
        <v>263</v>
      </c>
      <c r="K70" s="9"/>
      <c r="L70" s="9" t="s">
        <v>264</v>
      </c>
      <c r="M70" s="9" t="s">
        <v>132</v>
      </c>
      <c r="N70" s="12">
        <v>44928</v>
      </c>
      <c r="O70" s="14">
        <f>ROUND(YEARFRAC(H70,Parametros!$B$1),1)</f>
        <v>8.3000000000000007</v>
      </c>
      <c r="P70" s="15">
        <f>INDEX(Parametros!$B$4:$B$12,MATCH(B70,Parametros!$A$4:$A$12,0))</f>
        <v>6</v>
      </c>
      <c r="Q70" s="16">
        <f t="shared" si="8"/>
        <v>1.3833333333333335</v>
      </c>
      <c r="R70" s="9" t="str">
        <f t="shared" si="9"/>
        <v>Obsoleto</v>
      </c>
      <c r="S70" s="9">
        <f t="shared" si="10"/>
        <v>2022</v>
      </c>
      <c r="T70" s="13">
        <f t="shared" si="11"/>
        <v>0</v>
      </c>
    </row>
    <row r="71" spans="1:20" x14ac:dyDescent="0.3">
      <c r="A71" s="9" t="s">
        <v>265</v>
      </c>
      <c r="B71" s="9" t="s">
        <v>57</v>
      </c>
      <c r="C71" s="9" t="s">
        <v>63</v>
      </c>
      <c r="D71" s="9" t="s">
        <v>261</v>
      </c>
      <c r="E71" s="9" t="s">
        <v>266</v>
      </c>
      <c r="F71" s="9" t="s">
        <v>152</v>
      </c>
      <c r="G71" s="9" t="s">
        <v>215</v>
      </c>
      <c r="H71" s="12">
        <v>45199</v>
      </c>
      <c r="I71" s="13">
        <v>3667000</v>
      </c>
      <c r="J71" s="9" t="s">
        <v>267</v>
      </c>
      <c r="K71" s="9"/>
      <c r="L71" s="9" t="s">
        <v>264</v>
      </c>
      <c r="M71" s="9" t="s">
        <v>77</v>
      </c>
      <c r="N71" s="12">
        <v>45657</v>
      </c>
      <c r="O71" s="14">
        <f>ROUND(YEARFRAC(H71,Parametros!$B$1),1)</f>
        <v>1.3</v>
      </c>
      <c r="P71" s="15">
        <f>INDEX(Parametros!$B$4:$B$12,MATCH(B71,Parametros!$A$4:$A$12,0))</f>
        <v>6</v>
      </c>
      <c r="Q71" s="16">
        <f t="shared" si="8"/>
        <v>0.21666666666666667</v>
      </c>
      <c r="R71" s="9" t="str">
        <f t="shared" si="9"/>
        <v>Dado de baja</v>
      </c>
      <c r="S71" s="9">
        <f t="shared" si="10"/>
        <v>2029</v>
      </c>
      <c r="T71" s="13">
        <f t="shared" si="11"/>
        <v>2872483</v>
      </c>
    </row>
    <row r="72" spans="1:20" x14ac:dyDescent="0.3">
      <c r="A72" s="9" t="s">
        <v>268</v>
      </c>
      <c r="B72" s="9" t="s">
        <v>57</v>
      </c>
      <c r="C72" s="9" t="s">
        <v>72</v>
      </c>
      <c r="D72" s="9" t="s">
        <v>269</v>
      </c>
      <c r="E72" s="9" t="s">
        <v>270</v>
      </c>
      <c r="F72" s="9" t="s">
        <v>152</v>
      </c>
      <c r="G72" s="9" t="s">
        <v>215</v>
      </c>
      <c r="H72" s="12">
        <v>42684</v>
      </c>
      <c r="I72" s="13">
        <v>3237000</v>
      </c>
      <c r="J72" s="9" t="s">
        <v>263</v>
      </c>
      <c r="K72" s="9"/>
      <c r="L72" s="9" t="s">
        <v>264</v>
      </c>
      <c r="M72" s="9" t="s">
        <v>70</v>
      </c>
      <c r="N72" s="12">
        <v>45234</v>
      </c>
      <c r="O72" s="14">
        <f>ROUND(YEARFRAC(H72,Parametros!$B$1),1)</f>
        <v>8.1</v>
      </c>
      <c r="P72" s="15">
        <f>INDEX(Parametros!$B$4:$B$12,MATCH(B72,Parametros!$A$4:$A$12,0))</f>
        <v>6</v>
      </c>
      <c r="Q72" s="16">
        <f t="shared" si="8"/>
        <v>1.3499999999999999</v>
      </c>
      <c r="R72" s="9" t="str">
        <f t="shared" si="9"/>
        <v>Obsoleto</v>
      </c>
      <c r="S72" s="9">
        <f t="shared" si="10"/>
        <v>2022</v>
      </c>
      <c r="T72" s="13">
        <f t="shared" si="11"/>
        <v>0</v>
      </c>
    </row>
    <row r="73" spans="1:20" x14ac:dyDescent="0.3">
      <c r="A73" s="9" t="s">
        <v>271</v>
      </c>
      <c r="B73" s="9" t="s">
        <v>58</v>
      </c>
      <c r="C73" s="9" t="s">
        <v>272</v>
      </c>
      <c r="D73" s="9" t="s">
        <v>273</v>
      </c>
      <c r="E73" s="9" t="s">
        <v>274</v>
      </c>
      <c r="F73" s="9" t="s">
        <v>152</v>
      </c>
      <c r="G73" s="9" t="s">
        <v>215</v>
      </c>
      <c r="H73" s="12">
        <v>43817</v>
      </c>
      <c r="I73" s="13">
        <v>443000</v>
      </c>
      <c r="J73" s="9" t="s">
        <v>216</v>
      </c>
      <c r="K73" s="9"/>
      <c r="L73" s="9" t="s">
        <v>216</v>
      </c>
      <c r="M73" s="9" t="s">
        <v>70</v>
      </c>
      <c r="N73" s="12">
        <v>45503</v>
      </c>
      <c r="O73" s="14">
        <f>ROUND(YEARFRAC(H73,Parametros!$B$1),1)</f>
        <v>5</v>
      </c>
      <c r="P73" s="15">
        <f>INDEX(Parametros!$B$4:$B$12,MATCH(B73,Parametros!$A$4:$A$12,0))</f>
        <v>7</v>
      </c>
      <c r="Q73" s="16">
        <f t="shared" si="8"/>
        <v>0.7142857142857143</v>
      </c>
      <c r="R73" s="9" t="str">
        <f t="shared" si="9"/>
        <v>Vigente</v>
      </c>
      <c r="S73" s="9">
        <f t="shared" si="10"/>
        <v>2026</v>
      </c>
      <c r="T73" s="13">
        <f t="shared" si="11"/>
        <v>126571</v>
      </c>
    </row>
    <row r="74" spans="1:20" x14ac:dyDescent="0.3">
      <c r="A74" s="9" t="s">
        <v>275</v>
      </c>
      <c r="B74" s="9" t="s">
        <v>58</v>
      </c>
      <c r="C74" s="9" t="s">
        <v>272</v>
      </c>
      <c r="D74" s="9" t="s">
        <v>273</v>
      </c>
      <c r="E74" s="9" t="s">
        <v>276</v>
      </c>
      <c r="F74" s="9" t="s">
        <v>152</v>
      </c>
      <c r="G74" s="9" t="s">
        <v>215</v>
      </c>
      <c r="H74" s="12">
        <v>44501</v>
      </c>
      <c r="I74" s="13">
        <v>196000</v>
      </c>
      <c r="J74" s="9" t="s">
        <v>216</v>
      </c>
      <c r="K74" s="9"/>
      <c r="L74" s="9" t="s">
        <v>216</v>
      </c>
      <c r="M74" s="9" t="s">
        <v>70</v>
      </c>
      <c r="N74" s="12">
        <v>45452</v>
      </c>
      <c r="O74" s="14">
        <f>ROUND(YEARFRAC(H74,Parametros!$B$1),1)</f>
        <v>3.2</v>
      </c>
      <c r="P74" s="15">
        <f>INDEX(Parametros!$B$4:$B$12,MATCH(B74,Parametros!$A$4:$A$12,0))</f>
        <v>7</v>
      </c>
      <c r="Q74" s="16">
        <f t="shared" si="8"/>
        <v>0.45714285714285718</v>
      </c>
      <c r="R74" s="9" t="str">
        <f t="shared" si="9"/>
        <v>Vigente</v>
      </c>
      <c r="S74" s="9">
        <f t="shared" si="10"/>
        <v>2028</v>
      </c>
      <c r="T74" s="13">
        <f t="shared" si="11"/>
        <v>106400</v>
      </c>
    </row>
    <row r="75" spans="1:20" x14ac:dyDescent="0.3">
      <c r="A75" s="9" t="s">
        <v>277</v>
      </c>
      <c r="B75" s="9" t="s">
        <v>58</v>
      </c>
      <c r="C75" s="9" t="s">
        <v>278</v>
      </c>
      <c r="D75" s="9" t="s">
        <v>279</v>
      </c>
      <c r="E75" s="9" t="s">
        <v>280</v>
      </c>
      <c r="F75" s="9" t="s">
        <v>152</v>
      </c>
      <c r="G75" s="9" t="s">
        <v>215</v>
      </c>
      <c r="H75" s="12">
        <v>44725</v>
      </c>
      <c r="I75" s="13">
        <v>347000</v>
      </c>
      <c r="J75" s="9" t="s">
        <v>216</v>
      </c>
      <c r="K75" s="9"/>
      <c r="L75" s="9" t="s">
        <v>216</v>
      </c>
      <c r="M75" s="9" t="s">
        <v>70</v>
      </c>
      <c r="N75" s="12">
        <v>45657</v>
      </c>
      <c r="O75" s="14">
        <f>ROUND(YEARFRAC(H75,Parametros!$B$1),1)</f>
        <v>2.6</v>
      </c>
      <c r="P75" s="15">
        <f>INDEX(Parametros!$B$4:$B$12,MATCH(B75,Parametros!$A$4:$A$12,0))</f>
        <v>7</v>
      </c>
      <c r="Q75" s="16">
        <f t="shared" si="8"/>
        <v>0.37142857142857144</v>
      </c>
      <c r="R75" s="9" t="str">
        <f t="shared" si="9"/>
        <v>Vigente</v>
      </c>
      <c r="S75" s="9">
        <f t="shared" si="10"/>
        <v>2029</v>
      </c>
      <c r="T75" s="13">
        <f t="shared" si="11"/>
        <v>218114</v>
      </c>
    </row>
    <row r="76" spans="1:20" x14ac:dyDescent="0.3">
      <c r="A76" s="9" t="s">
        <v>281</v>
      </c>
      <c r="B76" s="9" t="s">
        <v>58</v>
      </c>
      <c r="C76" s="9" t="s">
        <v>272</v>
      </c>
      <c r="D76" s="9" t="s">
        <v>273</v>
      </c>
      <c r="E76" s="9" t="s">
        <v>282</v>
      </c>
      <c r="F76" s="9" t="s">
        <v>152</v>
      </c>
      <c r="G76" s="9" t="s">
        <v>215</v>
      </c>
      <c r="H76" s="12">
        <v>44569</v>
      </c>
      <c r="I76" s="13">
        <v>456000</v>
      </c>
      <c r="J76" s="9" t="s">
        <v>216</v>
      </c>
      <c r="K76" s="9"/>
      <c r="L76" s="9" t="s">
        <v>216</v>
      </c>
      <c r="M76" s="9" t="s">
        <v>70</v>
      </c>
      <c r="N76" s="12">
        <v>45656</v>
      </c>
      <c r="O76" s="14">
        <f>ROUND(YEARFRAC(H76,Parametros!$B$1),1)</f>
        <v>3</v>
      </c>
      <c r="P76" s="15">
        <f>INDEX(Parametros!$B$4:$B$12,MATCH(B76,Parametros!$A$4:$A$12,0))</f>
        <v>7</v>
      </c>
      <c r="Q76" s="16">
        <f t="shared" si="8"/>
        <v>0.42857142857142855</v>
      </c>
      <c r="R76" s="9" t="str">
        <f t="shared" si="9"/>
        <v>Vigente</v>
      </c>
      <c r="S76" s="9">
        <f t="shared" si="10"/>
        <v>2029</v>
      </c>
      <c r="T76" s="13">
        <f t="shared" si="11"/>
        <v>260571</v>
      </c>
    </row>
    <row r="77" spans="1:20" x14ac:dyDescent="0.3">
      <c r="A77" s="9" t="s">
        <v>283</v>
      </c>
      <c r="B77" s="9" t="s">
        <v>58</v>
      </c>
      <c r="C77" s="9" t="s">
        <v>278</v>
      </c>
      <c r="D77" s="9" t="s">
        <v>279</v>
      </c>
      <c r="E77" s="9" t="s">
        <v>284</v>
      </c>
      <c r="F77" s="9" t="s">
        <v>152</v>
      </c>
      <c r="G77" s="9" t="s">
        <v>215</v>
      </c>
      <c r="H77" s="12">
        <v>44939</v>
      </c>
      <c r="I77" s="13">
        <v>240000</v>
      </c>
      <c r="J77" s="9" t="s">
        <v>216</v>
      </c>
      <c r="K77" s="9"/>
      <c r="L77" s="9" t="s">
        <v>216</v>
      </c>
      <c r="M77" s="9" t="s">
        <v>70</v>
      </c>
      <c r="N77" s="12">
        <v>45502</v>
      </c>
      <c r="O77" s="14">
        <f>ROUND(YEARFRAC(H77,Parametros!$B$1),1)</f>
        <v>2</v>
      </c>
      <c r="P77" s="15">
        <f>INDEX(Parametros!$B$4:$B$12,MATCH(B77,Parametros!$A$4:$A$12,0))</f>
        <v>7</v>
      </c>
      <c r="Q77" s="16">
        <f t="shared" si="8"/>
        <v>0.2857142857142857</v>
      </c>
      <c r="R77" s="9" t="str">
        <f t="shared" si="9"/>
        <v>Vigente</v>
      </c>
      <c r="S77" s="9">
        <f t="shared" si="10"/>
        <v>2030</v>
      </c>
      <c r="T77" s="13">
        <f t="shared" si="11"/>
        <v>171429</v>
      </c>
    </row>
    <row r="78" spans="1:20" x14ac:dyDescent="0.3">
      <c r="A78" s="9" t="s">
        <v>285</v>
      </c>
      <c r="B78" s="9" t="s">
        <v>59</v>
      </c>
      <c r="C78" s="9" t="s">
        <v>286</v>
      </c>
      <c r="D78" s="9" t="s">
        <v>287</v>
      </c>
      <c r="E78" s="9" t="s">
        <v>288</v>
      </c>
      <c r="F78" s="9" t="s">
        <v>152</v>
      </c>
      <c r="G78" s="9" t="s">
        <v>215</v>
      </c>
      <c r="H78" s="12">
        <v>45023</v>
      </c>
      <c r="I78" s="13">
        <v>101000</v>
      </c>
      <c r="J78" s="9" t="s">
        <v>216</v>
      </c>
      <c r="K78" s="9"/>
      <c r="L78" s="9" t="s">
        <v>216</v>
      </c>
      <c r="M78" s="9" t="s">
        <v>70</v>
      </c>
      <c r="N78" s="12">
        <v>45657</v>
      </c>
      <c r="O78" s="14">
        <f>ROUND(YEARFRAC(H78,Parametros!$B$1),1)</f>
        <v>1.7</v>
      </c>
      <c r="P78" s="15">
        <f>INDEX(Parametros!$B$4:$B$12,MATCH(B78,Parametros!$A$4:$A$12,0))</f>
        <v>5</v>
      </c>
      <c r="Q78" s="16">
        <f t="shared" si="8"/>
        <v>0.33999999999999997</v>
      </c>
      <c r="R78" s="9" t="str">
        <f t="shared" si="9"/>
        <v>Vigente</v>
      </c>
      <c r="S78" s="9">
        <f t="shared" si="10"/>
        <v>2028</v>
      </c>
      <c r="T78" s="13">
        <f t="shared" si="11"/>
        <v>66660</v>
      </c>
    </row>
    <row r="79" spans="1:20" x14ac:dyDescent="0.3">
      <c r="A79" s="9" t="s">
        <v>289</v>
      </c>
      <c r="B79" s="9" t="s">
        <v>59</v>
      </c>
      <c r="C79" s="9" t="s">
        <v>286</v>
      </c>
      <c r="D79" s="9" t="s">
        <v>287</v>
      </c>
      <c r="E79" s="9" t="s">
        <v>290</v>
      </c>
      <c r="F79" s="9" t="s">
        <v>152</v>
      </c>
      <c r="G79" s="9" t="s">
        <v>215</v>
      </c>
      <c r="H79" s="12">
        <v>43788</v>
      </c>
      <c r="I79" s="13">
        <v>78000</v>
      </c>
      <c r="J79" s="9" t="s">
        <v>216</v>
      </c>
      <c r="K79" s="9"/>
      <c r="L79" s="9" t="s">
        <v>216</v>
      </c>
      <c r="M79" s="9" t="s">
        <v>70</v>
      </c>
      <c r="N79" s="12">
        <v>45341</v>
      </c>
      <c r="O79" s="14">
        <f>ROUND(YEARFRAC(H79,Parametros!$B$1),1)</f>
        <v>5.0999999999999996</v>
      </c>
      <c r="P79" s="15">
        <f>INDEX(Parametros!$B$4:$B$12,MATCH(B79,Parametros!$A$4:$A$12,0))</f>
        <v>5</v>
      </c>
      <c r="Q79" s="16">
        <f t="shared" si="8"/>
        <v>1.02</v>
      </c>
      <c r="R79" s="9" t="str">
        <f t="shared" si="9"/>
        <v>Obsoleto</v>
      </c>
      <c r="S79" s="9">
        <f t="shared" si="10"/>
        <v>2024</v>
      </c>
      <c r="T79" s="13">
        <f t="shared" si="11"/>
        <v>0</v>
      </c>
    </row>
    <row r="80" spans="1:20" x14ac:dyDescent="0.3">
      <c r="A80" s="9" t="s">
        <v>291</v>
      </c>
      <c r="B80" s="9" t="s">
        <v>59</v>
      </c>
      <c r="C80" s="9" t="s">
        <v>286</v>
      </c>
      <c r="D80" s="9" t="s">
        <v>287</v>
      </c>
      <c r="E80" s="9" t="s">
        <v>292</v>
      </c>
      <c r="F80" s="9" t="s">
        <v>152</v>
      </c>
      <c r="G80" s="9" t="s">
        <v>215</v>
      </c>
      <c r="H80" s="12">
        <v>44150</v>
      </c>
      <c r="I80" s="13">
        <v>75000</v>
      </c>
      <c r="J80" s="9" t="s">
        <v>216</v>
      </c>
      <c r="K80" s="9"/>
      <c r="L80" s="9" t="s">
        <v>216</v>
      </c>
      <c r="M80" s="9" t="s">
        <v>70</v>
      </c>
      <c r="N80" s="12">
        <v>45576</v>
      </c>
      <c r="O80" s="14">
        <f>ROUND(YEARFRAC(H80,Parametros!$B$1),1)</f>
        <v>4.0999999999999996</v>
      </c>
      <c r="P80" s="15">
        <f>INDEX(Parametros!$B$4:$B$12,MATCH(B80,Parametros!$A$4:$A$12,0))</f>
        <v>5</v>
      </c>
      <c r="Q80" s="16">
        <f t="shared" si="8"/>
        <v>0.82</v>
      </c>
      <c r="R80" s="9" t="str">
        <f t="shared" si="9"/>
        <v>Por renovar</v>
      </c>
      <c r="S80" s="9">
        <f t="shared" si="10"/>
        <v>2025</v>
      </c>
      <c r="T80" s="13">
        <f t="shared" si="11"/>
        <v>13500</v>
      </c>
    </row>
    <row r="81" spans="1:20" x14ac:dyDescent="0.3">
      <c r="A81" s="9" t="s">
        <v>293</v>
      </c>
      <c r="B81" s="9" t="s">
        <v>59</v>
      </c>
      <c r="C81" s="9" t="s">
        <v>272</v>
      </c>
      <c r="D81" s="9" t="s">
        <v>294</v>
      </c>
      <c r="E81" s="9" t="s">
        <v>295</v>
      </c>
      <c r="F81" s="9" t="s">
        <v>152</v>
      </c>
      <c r="G81" s="9" t="s">
        <v>215</v>
      </c>
      <c r="H81" s="12">
        <v>44456</v>
      </c>
      <c r="I81" s="13">
        <v>113000</v>
      </c>
      <c r="J81" s="9" t="s">
        <v>216</v>
      </c>
      <c r="K81" s="9"/>
      <c r="L81" s="9" t="s">
        <v>216</v>
      </c>
      <c r="M81" s="9" t="s">
        <v>70</v>
      </c>
      <c r="N81" s="12">
        <v>45433</v>
      </c>
      <c r="O81" s="14">
        <f>ROUND(YEARFRAC(H81,Parametros!$B$1),1)</f>
        <v>3.3</v>
      </c>
      <c r="P81" s="15">
        <f>INDEX(Parametros!$B$4:$B$12,MATCH(B81,Parametros!$A$4:$A$12,0))</f>
        <v>5</v>
      </c>
      <c r="Q81" s="16">
        <f t="shared" si="8"/>
        <v>0.65999999999999992</v>
      </c>
      <c r="R81" s="9" t="str">
        <f t="shared" si="9"/>
        <v>Vigente</v>
      </c>
      <c r="S81" s="9">
        <f t="shared" si="10"/>
        <v>2026</v>
      </c>
      <c r="T81" s="13">
        <f t="shared" si="11"/>
        <v>38420</v>
      </c>
    </row>
    <row r="82" spans="1:20" x14ac:dyDescent="0.3">
      <c r="A82" s="9" t="s">
        <v>296</v>
      </c>
      <c r="B82" s="9" t="s">
        <v>59</v>
      </c>
      <c r="C82" s="9" t="s">
        <v>286</v>
      </c>
      <c r="D82" s="9" t="s">
        <v>287</v>
      </c>
      <c r="E82" s="9" t="s">
        <v>297</v>
      </c>
      <c r="F82" s="9" t="s">
        <v>152</v>
      </c>
      <c r="G82" s="9" t="s">
        <v>215</v>
      </c>
      <c r="H82" s="12">
        <v>44575</v>
      </c>
      <c r="I82" s="13">
        <v>138000</v>
      </c>
      <c r="J82" s="9" t="s">
        <v>216</v>
      </c>
      <c r="K82" s="9"/>
      <c r="L82" s="9" t="s">
        <v>216</v>
      </c>
      <c r="M82" s="9" t="s">
        <v>70</v>
      </c>
      <c r="N82" s="12">
        <v>45657</v>
      </c>
      <c r="O82" s="14">
        <f>ROUND(YEARFRAC(H82,Parametros!$B$1),1)</f>
        <v>3</v>
      </c>
      <c r="P82" s="15">
        <f>INDEX(Parametros!$B$4:$B$12,MATCH(B82,Parametros!$A$4:$A$12,0))</f>
        <v>5</v>
      </c>
      <c r="Q82" s="16">
        <f t="shared" si="8"/>
        <v>0.6</v>
      </c>
      <c r="R82" s="9" t="str">
        <f t="shared" si="9"/>
        <v>Vigente</v>
      </c>
      <c r="S82" s="9">
        <f t="shared" si="10"/>
        <v>2027</v>
      </c>
      <c r="T82" s="13">
        <f t="shared" si="11"/>
        <v>55200</v>
      </c>
    </row>
    <row r="83" spans="1:20" x14ac:dyDescent="0.3">
      <c r="A83" s="9" t="s">
        <v>298</v>
      </c>
      <c r="B83" s="9" t="s">
        <v>59</v>
      </c>
      <c r="C83" s="9" t="s">
        <v>286</v>
      </c>
      <c r="D83" s="9" t="s">
        <v>287</v>
      </c>
      <c r="E83" s="9" t="s">
        <v>299</v>
      </c>
      <c r="F83" s="9" t="s">
        <v>152</v>
      </c>
      <c r="G83" s="9" t="s">
        <v>215</v>
      </c>
      <c r="H83" s="12">
        <v>45526</v>
      </c>
      <c r="I83" s="13">
        <v>75000</v>
      </c>
      <c r="J83" s="9" t="s">
        <v>216</v>
      </c>
      <c r="K83" s="9"/>
      <c r="L83" s="9" t="s">
        <v>216</v>
      </c>
      <c r="M83" s="9" t="s">
        <v>70</v>
      </c>
      <c r="N83" s="12">
        <v>45657</v>
      </c>
      <c r="O83" s="14">
        <f>ROUND(YEARFRAC(H83,Parametros!$B$1),1)</f>
        <v>0.4</v>
      </c>
      <c r="P83" s="15">
        <f>INDEX(Parametros!$B$4:$B$12,MATCH(B83,Parametros!$A$4:$A$12,0))</f>
        <v>5</v>
      </c>
      <c r="Q83" s="16">
        <f t="shared" si="8"/>
        <v>0.08</v>
      </c>
      <c r="R83" s="9" t="str">
        <f t="shared" si="9"/>
        <v>Vigente</v>
      </c>
      <c r="S83" s="9">
        <f t="shared" si="10"/>
        <v>2029</v>
      </c>
      <c r="T83" s="13">
        <f t="shared" si="11"/>
        <v>69000</v>
      </c>
    </row>
    <row r="84" spans="1:20" x14ac:dyDescent="0.3">
      <c r="A84" s="9" t="s">
        <v>300</v>
      </c>
      <c r="B84" s="9" t="s">
        <v>60</v>
      </c>
      <c r="C84" s="9" t="s">
        <v>90</v>
      </c>
      <c r="D84" s="9" t="s">
        <v>301</v>
      </c>
      <c r="E84" s="9" t="s">
        <v>302</v>
      </c>
      <c r="F84" s="9" t="s">
        <v>86</v>
      </c>
      <c r="G84" s="9" t="s">
        <v>215</v>
      </c>
      <c r="H84" s="12">
        <v>42701</v>
      </c>
      <c r="I84" s="13">
        <v>215000</v>
      </c>
      <c r="J84" s="9" t="s">
        <v>303</v>
      </c>
      <c r="K84" s="9"/>
      <c r="L84" s="9" t="s">
        <v>216</v>
      </c>
      <c r="M84" s="9" t="s">
        <v>70</v>
      </c>
      <c r="N84" s="12">
        <v>45103</v>
      </c>
      <c r="O84" s="14">
        <f>ROUND(YEARFRAC(H84,Parametros!$B$1),1)</f>
        <v>8.1</v>
      </c>
      <c r="P84" s="15">
        <f>INDEX(Parametros!$B$4:$B$12,MATCH(B84,Parametros!$A$4:$A$12,0))</f>
        <v>3</v>
      </c>
      <c r="Q84" s="16">
        <f t="shared" si="8"/>
        <v>2.6999999999999997</v>
      </c>
      <c r="R84" s="9" t="str">
        <f t="shared" si="9"/>
        <v>Obsoleto</v>
      </c>
      <c r="S84" s="9">
        <f t="shared" si="10"/>
        <v>2019</v>
      </c>
      <c r="T84" s="13">
        <f t="shared" si="11"/>
        <v>0</v>
      </c>
    </row>
    <row r="85" spans="1:20" x14ac:dyDescent="0.3">
      <c r="A85" s="9" t="s">
        <v>304</v>
      </c>
      <c r="B85" s="9" t="s">
        <v>60</v>
      </c>
      <c r="C85" s="9" t="s">
        <v>90</v>
      </c>
      <c r="D85" s="9" t="s">
        <v>301</v>
      </c>
      <c r="E85" s="9" t="s">
        <v>305</v>
      </c>
      <c r="F85" s="9" t="s">
        <v>86</v>
      </c>
      <c r="G85" s="9" t="s">
        <v>215</v>
      </c>
      <c r="H85" s="12">
        <v>43949</v>
      </c>
      <c r="I85" s="13">
        <v>192000</v>
      </c>
      <c r="J85" s="9" t="s">
        <v>303</v>
      </c>
      <c r="K85" s="9"/>
      <c r="L85" s="9" t="s">
        <v>216</v>
      </c>
      <c r="M85" s="9" t="s">
        <v>70</v>
      </c>
      <c r="N85" s="12">
        <v>45199</v>
      </c>
      <c r="O85" s="14">
        <f>ROUND(YEARFRAC(H85,Parametros!$B$1),1)</f>
        <v>4.7</v>
      </c>
      <c r="P85" s="15">
        <f>INDEX(Parametros!$B$4:$B$12,MATCH(B85,Parametros!$A$4:$A$12,0))</f>
        <v>3</v>
      </c>
      <c r="Q85" s="16">
        <f t="shared" si="8"/>
        <v>1.5666666666666667</v>
      </c>
      <c r="R85" s="9" t="str">
        <f t="shared" si="9"/>
        <v>Obsoleto</v>
      </c>
      <c r="S85" s="9">
        <f t="shared" si="10"/>
        <v>2023</v>
      </c>
      <c r="T85" s="13">
        <f t="shared" si="11"/>
        <v>0</v>
      </c>
    </row>
    <row r="86" spans="1:20" x14ac:dyDescent="0.3">
      <c r="A86" s="9" t="s">
        <v>306</v>
      </c>
      <c r="B86" s="9" t="s">
        <v>60</v>
      </c>
      <c r="C86" s="9" t="s">
        <v>212</v>
      </c>
      <c r="D86" s="9" t="s">
        <v>307</v>
      </c>
      <c r="E86" s="9" t="s">
        <v>308</v>
      </c>
      <c r="F86" s="9" t="s">
        <v>86</v>
      </c>
      <c r="G86" s="9" t="s">
        <v>215</v>
      </c>
      <c r="H86" s="12">
        <v>43303</v>
      </c>
      <c r="I86" s="13">
        <v>234000</v>
      </c>
      <c r="J86" s="9" t="s">
        <v>303</v>
      </c>
      <c r="K86" s="9"/>
      <c r="L86" s="9" t="s">
        <v>216</v>
      </c>
      <c r="M86" s="9" t="s">
        <v>132</v>
      </c>
      <c r="N86" s="12">
        <v>45265</v>
      </c>
      <c r="O86" s="14">
        <f>ROUND(YEARFRAC(H86,Parametros!$B$1),1)</f>
        <v>6.4</v>
      </c>
      <c r="P86" s="15">
        <f>INDEX(Parametros!$B$4:$B$12,MATCH(B86,Parametros!$A$4:$A$12,0))</f>
        <v>3</v>
      </c>
      <c r="Q86" s="16">
        <f t="shared" si="8"/>
        <v>2.1333333333333333</v>
      </c>
      <c r="R86" s="9" t="str">
        <f t="shared" si="9"/>
        <v>Obsoleto</v>
      </c>
      <c r="S86" s="9">
        <f t="shared" si="10"/>
        <v>2021</v>
      </c>
      <c r="T86" s="13">
        <f t="shared" si="11"/>
        <v>0</v>
      </c>
    </row>
    <row r="87" spans="1:20" x14ac:dyDescent="0.3">
      <c r="A87" s="9" t="s">
        <v>309</v>
      </c>
      <c r="B87" s="9" t="s">
        <v>60</v>
      </c>
      <c r="C87" s="9" t="s">
        <v>212</v>
      </c>
      <c r="D87" s="9" t="s">
        <v>307</v>
      </c>
      <c r="E87" s="9" t="s">
        <v>310</v>
      </c>
      <c r="F87" s="9" t="s">
        <v>86</v>
      </c>
      <c r="G87" s="9" t="s">
        <v>215</v>
      </c>
      <c r="H87" s="12">
        <v>45038</v>
      </c>
      <c r="I87" s="13">
        <v>193000</v>
      </c>
      <c r="J87" s="9" t="s">
        <v>303</v>
      </c>
      <c r="K87" s="9"/>
      <c r="L87" s="9" t="s">
        <v>216</v>
      </c>
      <c r="M87" s="9" t="s">
        <v>70</v>
      </c>
      <c r="N87" s="12">
        <v>45657</v>
      </c>
      <c r="O87" s="14">
        <f>ROUND(YEARFRAC(H87,Parametros!$B$1),1)</f>
        <v>1.7</v>
      </c>
      <c r="P87" s="15">
        <f>INDEX(Parametros!$B$4:$B$12,MATCH(B87,Parametros!$A$4:$A$12,0))</f>
        <v>3</v>
      </c>
      <c r="Q87" s="16">
        <f t="shared" si="8"/>
        <v>0.56666666666666665</v>
      </c>
      <c r="R87" s="9" t="str">
        <f t="shared" si="9"/>
        <v>Vigente</v>
      </c>
      <c r="S87" s="9">
        <f t="shared" si="10"/>
        <v>2026</v>
      </c>
      <c r="T87" s="13">
        <f t="shared" si="11"/>
        <v>83633</v>
      </c>
    </row>
    <row r="88" spans="1:20" x14ac:dyDescent="0.3">
      <c r="A88" s="9" t="s">
        <v>311</v>
      </c>
      <c r="B88" s="9" t="s">
        <v>60</v>
      </c>
      <c r="C88" s="9" t="s">
        <v>212</v>
      </c>
      <c r="D88" s="9" t="s">
        <v>307</v>
      </c>
      <c r="E88" s="9" t="s">
        <v>312</v>
      </c>
      <c r="F88" s="9" t="s">
        <v>86</v>
      </c>
      <c r="G88" s="9" t="s">
        <v>215</v>
      </c>
      <c r="H88" s="12">
        <v>42918</v>
      </c>
      <c r="I88" s="13">
        <v>215000</v>
      </c>
      <c r="J88" s="9" t="s">
        <v>303</v>
      </c>
      <c r="K88" s="9"/>
      <c r="L88" s="9" t="s">
        <v>216</v>
      </c>
      <c r="M88" s="9" t="s">
        <v>70</v>
      </c>
      <c r="N88" s="12">
        <v>45402</v>
      </c>
      <c r="O88" s="14">
        <f>ROUND(YEARFRAC(H88,Parametros!$B$1),1)</f>
        <v>7.5</v>
      </c>
      <c r="P88" s="15">
        <f>INDEX(Parametros!$B$4:$B$12,MATCH(B88,Parametros!$A$4:$A$12,0))</f>
        <v>3</v>
      </c>
      <c r="Q88" s="16">
        <f t="shared" si="8"/>
        <v>2.5</v>
      </c>
      <c r="R88" s="9" t="str">
        <f t="shared" si="9"/>
        <v>Obsoleto</v>
      </c>
      <c r="S88" s="9">
        <f t="shared" si="10"/>
        <v>2020</v>
      </c>
      <c r="T88" s="13">
        <f t="shared" si="11"/>
        <v>0</v>
      </c>
    </row>
    <row r="89" spans="1:20" x14ac:dyDescent="0.3">
      <c r="A89" s="9" t="s">
        <v>313</v>
      </c>
      <c r="B89" s="9" t="s">
        <v>61</v>
      </c>
      <c r="C89" s="9" t="s">
        <v>314</v>
      </c>
      <c r="D89" s="9" t="s">
        <v>315</v>
      </c>
      <c r="E89" s="9" t="s">
        <v>316</v>
      </c>
      <c r="F89" s="9" t="s">
        <v>86</v>
      </c>
      <c r="G89" s="9" t="s">
        <v>215</v>
      </c>
      <c r="H89" s="12">
        <v>42820</v>
      </c>
      <c r="I89" s="13">
        <v>739000</v>
      </c>
      <c r="J89" s="9" t="s">
        <v>303</v>
      </c>
      <c r="K89" s="9"/>
      <c r="L89" s="9" t="s">
        <v>216</v>
      </c>
      <c r="M89" s="9" t="s">
        <v>77</v>
      </c>
      <c r="N89" s="12">
        <v>45146</v>
      </c>
      <c r="O89" s="14">
        <f>ROUND(YEARFRAC(H89,Parametros!$B$1),1)</f>
        <v>7.8</v>
      </c>
      <c r="P89" s="15">
        <f>INDEX(Parametros!$B$4:$B$12,MATCH(B89,Parametros!$A$4:$A$12,0))</f>
        <v>5</v>
      </c>
      <c r="Q89" s="16">
        <f t="shared" si="8"/>
        <v>1.56</v>
      </c>
      <c r="R89" s="9" t="str">
        <f t="shared" si="9"/>
        <v>Dado de baja</v>
      </c>
      <c r="S89" s="9">
        <f t="shared" si="10"/>
        <v>2022</v>
      </c>
      <c r="T89" s="13">
        <f t="shared" si="11"/>
        <v>0</v>
      </c>
    </row>
    <row r="90" spans="1:20" x14ac:dyDescent="0.3">
      <c r="A90" s="9" t="s">
        <v>317</v>
      </c>
      <c r="B90" s="9" t="s">
        <v>61</v>
      </c>
      <c r="C90" s="9" t="s">
        <v>314</v>
      </c>
      <c r="D90" s="9" t="s">
        <v>315</v>
      </c>
      <c r="E90" s="9" t="s">
        <v>318</v>
      </c>
      <c r="F90" s="9" t="s">
        <v>86</v>
      </c>
      <c r="G90" s="9" t="s">
        <v>215</v>
      </c>
      <c r="H90" s="12">
        <v>42993</v>
      </c>
      <c r="I90" s="13">
        <v>1031000</v>
      </c>
      <c r="J90" s="9" t="s">
        <v>303</v>
      </c>
      <c r="K90" s="9"/>
      <c r="L90" s="9" t="s">
        <v>216</v>
      </c>
      <c r="M90" s="9" t="s">
        <v>70</v>
      </c>
      <c r="N90" s="12">
        <v>45006</v>
      </c>
      <c r="O90" s="14">
        <f>ROUND(YEARFRAC(H90,Parametros!$B$1),1)</f>
        <v>7.3</v>
      </c>
      <c r="P90" s="15">
        <f>INDEX(Parametros!$B$4:$B$12,MATCH(B90,Parametros!$A$4:$A$12,0))</f>
        <v>5</v>
      </c>
      <c r="Q90" s="16">
        <f t="shared" si="8"/>
        <v>1.46</v>
      </c>
      <c r="R90" s="9" t="str">
        <f t="shared" si="9"/>
        <v>Obsoleto</v>
      </c>
      <c r="S90" s="9">
        <f t="shared" si="10"/>
        <v>2022</v>
      </c>
      <c r="T90" s="13">
        <f t="shared" si="11"/>
        <v>0</v>
      </c>
    </row>
    <row r="91" spans="1:20" x14ac:dyDescent="0.3">
      <c r="A91" s="9" t="s">
        <v>319</v>
      </c>
      <c r="B91" s="9" t="s">
        <v>61</v>
      </c>
      <c r="C91" s="9" t="s">
        <v>257</v>
      </c>
      <c r="D91" s="9" t="s">
        <v>320</v>
      </c>
      <c r="E91" s="9" t="s">
        <v>321</v>
      </c>
      <c r="F91" s="9" t="s">
        <v>86</v>
      </c>
      <c r="G91" s="9" t="s">
        <v>215</v>
      </c>
      <c r="H91" s="12">
        <v>44483</v>
      </c>
      <c r="I91" s="13">
        <v>1021000</v>
      </c>
      <c r="J91" s="9" t="s">
        <v>303</v>
      </c>
      <c r="K91" s="9"/>
      <c r="L91" s="9" t="s">
        <v>216</v>
      </c>
      <c r="M91" s="9" t="s">
        <v>70</v>
      </c>
      <c r="N91" s="12">
        <v>45578</v>
      </c>
      <c r="O91" s="14">
        <f>ROUND(YEARFRAC(H91,Parametros!$B$1),1)</f>
        <v>3.2</v>
      </c>
      <c r="P91" s="15">
        <f>INDEX(Parametros!$B$4:$B$12,MATCH(B91,Parametros!$A$4:$A$12,0))</f>
        <v>5</v>
      </c>
      <c r="Q91" s="16">
        <f t="shared" si="8"/>
        <v>0.64</v>
      </c>
      <c r="R91" s="9" t="str">
        <f t="shared" si="9"/>
        <v>Vigente</v>
      </c>
      <c r="S91" s="9">
        <f t="shared" si="10"/>
        <v>2026</v>
      </c>
      <c r="T91" s="13">
        <f t="shared" si="11"/>
        <v>367560</v>
      </c>
    </row>
  </sheetData>
  <conditionalFormatting sqref="R2:R91">
    <cfRule type="expression" dxfId="1" priority="1">
      <formula>$R2="Obsoleto"</formula>
    </cfRule>
    <cfRule type="expression" dxfId="0" priority="2">
      <formula>$R2="Por renovar"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LEEME</vt:lpstr>
      <vt:lpstr>Parametros</vt:lpstr>
      <vt:lpstr>InventarioEquipos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del rio martinez</cp:lastModifiedBy>
  <dcterms:created xsi:type="dcterms:W3CDTF">2026-09-25T21:35:40Z</dcterms:created>
  <dcterms:modified xsi:type="dcterms:W3CDTF">2026-09-25T21:35:46Z</dcterms:modified>
</cp:coreProperties>
</file>