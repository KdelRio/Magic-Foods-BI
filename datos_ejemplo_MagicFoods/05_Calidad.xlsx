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C3D58E1E-6679-4D69-8664-A29AEDE6F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Reclamos" sheetId="2" r:id="rId2"/>
    <sheet name="FormularioReclamo" sheetId="3" r:id="rId3"/>
    <sheet name="Lis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U246" i="2"/>
  <c r="T246" i="2"/>
  <c r="U245" i="2"/>
  <c r="T245" i="2"/>
  <c r="U244" i="2"/>
  <c r="T244" i="2"/>
  <c r="U243" i="2"/>
  <c r="T243" i="2"/>
  <c r="U242" i="2"/>
  <c r="T242" i="2"/>
  <c r="U241" i="2"/>
  <c r="T241" i="2"/>
  <c r="U240" i="2"/>
  <c r="T240" i="2"/>
  <c r="U239" i="2"/>
  <c r="T239" i="2"/>
  <c r="U238" i="2"/>
  <c r="T238" i="2"/>
  <c r="U237" i="2"/>
  <c r="T237" i="2"/>
  <c r="U236" i="2"/>
  <c r="T236" i="2"/>
  <c r="U235" i="2"/>
  <c r="T235" i="2"/>
  <c r="U234" i="2"/>
  <c r="T234" i="2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  <c r="U218" i="2"/>
  <c r="T218" i="2"/>
  <c r="U217" i="2"/>
  <c r="T217" i="2"/>
  <c r="U216" i="2"/>
  <c r="T216" i="2"/>
  <c r="U215" i="2"/>
  <c r="T215" i="2"/>
  <c r="U214" i="2"/>
  <c r="T214" i="2"/>
  <c r="U213" i="2"/>
  <c r="T213" i="2"/>
  <c r="U212" i="2"/>
  <c r="T212" i="2"/>
  <c r="U211" i="2"/>
  <c r="T211" i="2"/>
  <c r="U210" i="2"/>
  <c r="T210" i="2"/>
  <c r="U209" i="2"/>
  <c r="T209" i="2"/>
  <c r="U208" i="2"/>
  <c r="T208" i="2"/>
  <c r="U207" i="2"/>
  <c r="T207" i="2"/>
  <c r="U206" i="2"/>
  <c r="T206" i="2"/>
  <c r="U205" i="2"/>
  <c r="T205" i="2"/>
  <c r="U204" i="2"/>
  <c r="T204" i="2"/>
  <c r="U203" i="2"/>
  <c r="T203" i="2"/>
  <c r="U202" i="2"/>
  <c r="T202" i="2"/>
  <c r="U201" i="2"/>
  <c r="T201" i="2"/>
  <c r="U200" i="2"/>
  <c r="T200" i="2"/>
  <c r="U199" i="2"/>
  <c r="T199" i="2"/>
  <c r="U198" i="2"/>
  <c r="T198" i="2"/>
  <c r="U197" i="2"/>
  <c r="T197" i="2"/>
  <c r="U196" i="2"/>
  <c r="T196" i="2"/>
  <c r="U195" i="2"/>
  <c r="T195" i="2"/>
  <c r="U194" i="2"/>
  <c r="T194" i="2"/>
  <c r="U193" i="2"/>
  <c r="T193" i="2"/>
  <c r="U192" i="2"/>
  <c r="T192" i="2"/>
  <c r="U191" i="2"/>
  <c r="T191" i="2"/>
  <c r="U190" i="2"/>
  <c r="T190" i="2"/>
  <c r="U189" i="2"/>
  <c r="T189" i="2"/>
  <c r="U188" i="2"/>
  <c r="T188" i="2"/>
  <c r="U187" i="2"/>
  <c r="T187" i="2"/>
  <c r="U186" i="2"/>
  <c r="T186" i="2"/>
  <c r="U185" i="2"/>
  <c r="T185" i="2"/>
  <c r="U184" i="2"/>
  <c r="T184" i="2"/>
  <c r="U183" i="2"/>
  <c r="T183" i="2"/>
  <c r="U182" i="2"/>
  <c r="T182" i="2"/>
  <c r="U181" i="2"/>
  <c r="T181" i="2"/>
  <c r="U180" i="2"/>
  <c r="T180" i="2"/>
  <c r="U179" i="2"/>
  <c r="T179" i="2"/>
  <c r="U178" i="2"/>
  <c r="T178" i="2"/>
  <c r="U177" i="2"/>
  <c r="T177" i="2"/>
  <c r="U176" i="2"/>
  <c r="T176" i="2"/>
  <c r="U175" i="2"/>
  <c r="T175" i="2"/>
  <c r="U174" i="2"/>
  <c r="T174" i="2"/>
  <c r="U173" i="2"/>
  <c r="T173" i="2"/>
  <c r="U172" i="2"/>
  <c r="T172" i="2"/>
  <c r="U171" i="2"/>
  <c r="T171" i="2"/>
  <c r="U170" i="2"/>
  <c r="T170" i="2"/>
  <c r="U169" i="2"/>
  <c r="T169" i="2"/>
  <c r="U168" i="2"/>
  <c r="T168" i="2"/>
  <c r="U167" i="2"/>
  <c r="T167" i="2"/>
  <c r="U166" i="2"/>
  <c r="T166" i="2"/>
  <c r="U165" i="2"/>
  <c r="T165" i="2"/>
  <c r="U164" i="2"/>
  <c r="T164" i="2"/>
  <c r="U163" i="2"/>
  <c r="T163" i="2"/>
  <c r="U162" i="2"/>
  <c r="T162" i="2"/>
  <c r="U161" i="2"/>
  <c r="T161" i="2"/>
  <c r="U160" i="2"/>
  <c r="T160" i="2"/>
  <c r="U159" i="2"/>
  <c r="T159" i="2"/>
  <c r="U158" i="2"/>
  <c r="T158" i="2"/>
  <c r="U157" i="2"/>
  <c r="T157" i="2"/>
  <c r="U156" i="2"/>
  <c r="T156" i="2"/>
  <c r="U155" i="2"/>
  <c r="T155" i="2"/>
  <c r="U154" i="2"/>
  <c r="T154" i="2"/>
  <c r="U153" i="2"/>
  <c r="T153" i="2"/>
  <c r="U152" i="2"/>
  <c r="T152" i="2"/>
  <c r="U151" i="2"/>
  <c r="T151" i="2"/>
  <c r="U150" i="2"/>
  <c r="T150" i="2"/>
  <c r="U149" i="2"/>
  <c r="T149" i="2"/>
  <c r="U148" i="2"/>
  <c r="T148" i="2"/>
  <c r="U147" i="2"/>
  <c r="T147" i="2"/>
  <c r="U146" i="2"/>
  <c r="T146" i="2"/>
  <c r="U145" i="2"/>
  <c r="T145" i="2"/>
  <c r="U144" i="2"/>
  <c r="T144" i="2"/>
  <c r="U143" i="2"/>
  <c r="T143" i="2"/>
  <c r="U142" i="2"/>
  <c r="T142" i="2"/>
  <c r="U141" i="2"/>
  <c r="T141" i="2"/>
  <c r="U140" i="2"/>
  <c r="T140" i="2"/>
  <c r="U139" i="2"/>
  <c r="T139" i="2"/>
  <c r="U138" i="2"/>
  <c r="T138" i="2"/>
  <c r="U137" i="2"/>
  <c r="T137" i="2"/>
  <c r="U136" i="2"/>
  <c r="T136" i="2"/>
  <c r="U135" i="2"/>
  <c r="T135" i="2"/>
  <c r="U134" i="2"/>
  <c r="T134" i="2"/>
  <c r="U133" i="2"/>
  <c r="T133" i="2"/>
  <c r="U132" i="2"/>
  <c r="T132" i="2"/>
  <c r="U131" i="2"/>
  <c r="T131" i="2"/>
  <c r="U130" i="2"/>
  <c r="T130" i="2"/>
  <c r="U129" i="2"/>
  <c r="T129" i="2"/>
  <c r="U128" i="2"/>
  <c r="T128" i="2"/>
  <c r="U127" i="2"/>
  <c r="T127" i="2"/>
  <c r="U126" i="2"/>
  <c r="T126" i="2"/>
  <c r="U125" i="2"/>
  <c r="T125" i="2"/>
  <c r="U124" i="2"/>
  <c r="T124" i="2"/>
  <c r="U123" i="2"/>
  <c r="T123" i="2"/>
  <c r="U122" i="2"/>
  <c r="T122" i="2"/>
  <c r="U121" i="2"/>
  <c r="T121" i="2"/>
  <c r="U120" i="2"/>
  <c r="T120" i="2"/>
  <c r="U119" i="2"/>
  <c r="T119" i="2"/>
  <c r="U118" i="2"/>
  <c r="T118" i="2"/>
  <c r="U117" i="2"/>
  <c r="T117" i="2"/>
  <c r="U116" i="2"/>
  <c r="T116" i="2"/>
  <c r="U115" i="2"/>
  <c r="T115" i="2"/>
  <c r="U114" i="2"/>
  <c r="T114" i="2"/>
  <c r="U113" i="2"/>
  <c r="T113" i="2"/>
  <c r="U112" i="2"/>
  <c r="T112" i="2"/>
  <c r="U111" i="2"/>
  <c r="T111" i="2"/>
  <c r="U110" i="2"/>
  <c r="T110" i="2"/>
  <c r="U109" i="2"/>
  <c r="T109" i="2"/>
  <c r="U108" i="2"/>
  <c r="T108" i="2"/>
  <c r="U107" i="2"/>
  <c r="T107" i="2"/>
  <c r="U106" i="2"/>
  <c r="T106" i="2"/>
  <c r="U105" i="2"/>
  <c r="T105" i="2"/>
  <c r="U104" i="2"/>
  <c r="T104" i="2"/>
  <c r="U103" i="2"/>
  <c r="T103" i="2"/>
  <c r="U102" i="2"/>
  <c r="T102" i="2"/>
  <c r="U101" i="2"/>
  <c r="T101" i="2"/>
  <c r="U100" i="2"/>
  <c r="T100" i="2"/>
  <c r="U99" i="2"/>
  <c r="T99" i="2"/>
  <c r="U98" i="2"/>
  <c r="T98" i="2"/>
  <c r="U97" i="2"/>
  <c r="T97" i="2"/>
  <c r="U96" i="2"/>
  <c r="T96" i="2"/>
  <c r="U95" i="2"/>
  <c r="T95" i="2"/>
  <c r="U94" i="2"/>
  <c r="T94" i="2"/>
  <c r="U93" i="2"/>
  <c r="T93" i="2"/>
  <c r="U92" i="2"/>
  <c r="T92" i="2"/>
  <c r="U91" i="2"/>
  <c r="T91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</calcChain>
</file>

<file path=xl/sharedStrings.xml><?xml version="1.0" encoding="utf-8"?>
<sst xmlns="http://schemas.openxmlformats.org/spreadsheetml/2006/main" count="4204" uniqueCount="1058">
  <si>
    <t>Control de calidad</t>
  </si>
  <si>
    <t>Magic Foods S.A. (empresa ficticia) · Datos 100% ficticios generados para portafolio / práctica de BI. Período: ene-2023 a dic-2024 · Fecha de corte: 31-12-2024.</t>
  </si>
  <si>
    <t>Desde abril-2024 los reclamos se registran con el formulario estandarizado (ver hoja FormularioReclamo): compare antes/después el % de registros completos y los días de resolución.</t>
  </si>
  <si>
    <t>Hoja</t>
  </si>
  <si>
    <t>Filas</t>
  </si>
  <si>
    <t>Descripción</t>
  </si>
  <si>
    <t>Indicadores / visualizaciones sugeridas</t>
  </si>
  <si>
    <t>Reclamos</t>
  </si>
  <si>
    <t>Registro de reclamos de clientes</t>
  </si>
  <si>
    <t>Trazabilidad de reclamos, tiempos de resolución, antes vs después del formulario estandarizado, % registros completos</t>
  </si>
  <si>
    <t>FormularioReclamo</t>
  </si>
  <si>
    <t>Formulario de ingreso con validación de datos (listas y rangos)</t>
  </si>
  <si>
    <t>Muestra del rediseño del proceso de captura de datos</t>
  </si>
  <si>
    <t>Listas</t>
  </si>
  <si>
    <t>Listas de valores para validación + fecha de corte</t>
  </si>
  <si>
    <t>Soporte del formulario</t>
  </si>
  <si>
    <t>DICCIONARIO DE DATOS</t>
  </si>
  <si>
    <t>Columna</t>
  </si>
  <si>
    <t>Formato</t>
  </si>
  <si>
    <t>ReclamoID</t>
  </si>
  <si>
    <t>Folio</t>
  </si>
  <si>
    <t>Texto / número</t>
  </si>
  <si>
    <t>FechaReclamo</t>
  </si>
  <si>
    <t>Fecha</t>
  </si>
  <si>
    <t>ClienteID</t>
  </si>
  <si>
    <t>Cliente</t>
  </si>
  <si>
    <t>Canal</t>
  </si>
  <si>
    <t>PedidoID</t>
  </si>
  <si>
    <t>Pedido asociado</t>
  </si>
  <si>
    <t>SKU</t>
  </si>
  <si>
    <t>Producto</t>
  </si>
  <si>
    <t>Lote</t>
  </si>
  <si>
    <t>Lote de producción (fecha + línea) para trazabilidad</t>
  </si>
  <si>
    <t>TipoReclamo</t>
  </si>
  <si>
    <t>Gravedad</t>
  </si>
  <si>
    <t>CanalIngreso</t>
  </si>
  <si>
    <t>Vía por la que ingresó</t>
  </si>
  <si>
    <t>OrigenRegistro</t>
  </si>
  <si>
    <t>Planilla libre (antes) vs Formulario estandarizado (desde abr-2024)</t>
  </si>
  <si>
    <t>RegistroCompleto</t>
  </si>
  <si>
    <t>Sí si todos los campos obligatorios fueron llenados</t>
  </si>
  <si>
    <t>CausaRaiz</t>
  </si>
  <si>
    <t>AccionCorrectiva</t>
  </si>
  <si>
    <t>AreaResponsable</t>
  </si>
  <si>
    <t>FechaAccion</t>
  </si>
  <si>
    <t>Implementación de acción</t>
  </si>
  <si>
    <t>FechaCierre</t>
  </si>
  <si>
    <t>Vacío = abierto</t>
  </si>
  <si>
    <t>Estado</t>
  </si>
  <si>
    <t>Fórmula</t>
  </si>
  <si>
    <t>DiasResolucion</t>
  </si>
  <si>
    <t>Días hasta cierre (o hasta fecha de corte)</t>
  </si>
  <si>
    <t>Entero</t>
  </si>
  <si>
    <t>RC-0001</t>
  </si>
  <si>
    <t>C019</t>
  </si>
  <si>
    <t>Distribuidora Los Lagos</t>
  </si>
  <si>
    <t>Distribuidores</t>
  </si>
  <si>
    <t>P001148</t>
  </si>
  <si>
    <t>PT-301</t>
  </si>
  <si>
    <t>Jugo de Naranja Natural 1 L</t>
  </si>
  <si>
    <t>L20230107-L3</t>
  </si>
  <si>
    <t>Envase dañado o mal sellado</t>
  </si>
  <si>
    <t>Baja</t>
  </si>
  <si>
    <t>Teléfono</t>
  </si>
  <si>
    <t>Planilla libre / correo</t>
  </si>
  <si>
    <t>Sí</t>
  </si>
  <si>
    <t>Sellado deficiente</t>
  </si>
  <si>
    <t>Mantención preventiva de selladora</t>
  </si>
  <si>
    <t>Producción</t>
  </si>
  <si>
    <t>RC-0002</t>
  </si>
  <si>
    <t>C021</t>
  </si>
  <si>
    <t>Botillería y Market San Martín</t>
  </si>
  <si>
    <t>Tiendas de Conveniencia</t>
  </si>
  <si>
    <t>P001165</t>
  </si>
  <si>
    <t>PT-104</t>
  </si>
  <si>
    <t>Mix Hojas Verdes 200 g</t>
  </si>
  <si>
    <t>L20230110-L1</t>
  </si>
  <si>
    <t>Sabor u olor anómalo</t>
  </si>
  <si>
    <t>Formulario web</t>
  </si>
  <si>
    <t>Desviación en formulación o proceso</t>
  </si>
  <si>
    <t>Revisión de receta y control de proceso</t>
  </si>
  <si>
    <t>Calidad</t>
  </si>
  <si>
    <t>RC-0003</t>
  </si>
  <si>
    <t>C045</t>
  </si>
  <si>
    <t>Almacén La Vecina</t>
  </si>
  <si>
    <t>P001213</t>
  </si>
  <si>
    <t>PT-303</t>
  </si>
  <si>
    <t>Jugo Frutilla-Plátano 300 ml</t>
  </si>
  <si>
    <t>L20230112-L3</t>
  </si>
  <si>
    <t>Vida útil reducida</t>
  </si>
  <si>
    <t>Media</t>
  </si>
  <si>
    <t>Materia prima con madurez avanzada</t>
  </si>
  <si>
    <t>Ajuste de especificación de recepción de materia prima</t>
  </si>
  <si>
    <t>RC-0004</t>
  </si>
  <si>
    <t>C083</t>
  </si>
  <si>
    <t>Centro Médico Nativo</t>
  </si>
  <si>
    <t>Venta Directa Empresas</t>
  </si>
  <si>
    <t>P001266</t>
  </si>
  <si>
    <t>PT-503</t>
  </si>
  <si>
    <t>Yogurt con Granola 200 g</t>
  </si>
  <si>
    <t>L20230114-L5</t>
  </si>
  <si>
    <t>Cuerpo extraño</t>
  </si>
  <si>
    <t>Correo electrónico</t>
  </si>
  <si>
    <t>Falla en inspección visual</t>
  </si>
  <si>
    <t>Refuerzo de inspección visual y capacitación de operarios</t>
  </si>
  <si>
    <t>RC-0005</t>
  </si>
  <si>
    <t>C082</t>
  </si>
  <si>
    <t>Casino Corporativo Del Sur</t>
  </si>
  <si>
    <t>P001302</t>
  </si>
  <si>
    <t>PT-505</t>
  </si>
  <si>
    <t>Macedonia con Crema 200 g</t>
  </si>
  <si>
    <t>L20230120-L5</t>
  </si>
  <si>
    <t>Alta</t>
  </si>
  <si>
    <t>RC-0006</t>
  </si>
  <si>
    <t>C067</t>
  </si>
  <si>
    <t>Restaurant Del Parque</t>
  </si>
  <si>
    <t>HORECA</t>
  </si>
  <si>
    <t>P001315</t>
  </si>
  <si>
    <t>PT-306</t>
  </si>
  <si>
    <t>Jugo Zanahoria-Naranja 1 L</t>
  </si>
  <si>
    <t>L20230118-L3</t>
  </si>
  <si>
    <t>Ejecutivo comercial</t>
  </si>
  <si>
    <t>RC-0007</t>
  </si>
  <si>
    <t>C011</t>
  </si>
  <si>
    <t>Supermercado Bío Market</t>
  </si>
  <si>
    <t>Supermercados</t>
  </si>
  <si>
    <t>P001400</t>
  </si>
  <si>
    <t>PT-103</t>
  </si>
  <si>
    <t>Ensalada Chilena 300 g</t>
  </si>
  <si>
    <t>L20230126-L1</t>
  </si>
  <si>
    <t>Crítica</t>
  </si>
  <si>
    <t>RC-0008</t>
  </si>
  <si>
    <t>C003</t>
  </si>
  <si>
    <t>Supermercado Los Aromos</t>
  </si>
  <si>
    <t>P001412</t>
  </si>
  <si>
    <t>No</t>
  </si>
  <si>
    <t>RC-0009</t>
  </si>
  <si>
    <t>P001427</t>
  </si>
  <si>
    <t>L20230201-L3</t>
  </si>
  <si>
    <t>Error de etiquetado</t>
  </si>
  <si>
    <t>Error en impresión de fecha o lote</t>
  </si>
  <si>
    <t>Verificación de etiquetas al inicio de cada turno</t>
  </si>
  <si>
    <t>RC-0010</t>
  </si>
  <si>
    <t>C027</t>
  </si>
  <si>
    <t>Minimarket Mirador</t>
  </si>
  <si>
    <t>P001434</t>
  </si>
  <si>
    <t>L20230128-L3</t>
  </si>
  <si>
    <t>Temperatura inadecuada</t>
  </si>
  <si>
    <t>Quiebre de cadena de frío en despacho</t>
  </si>
  <si>
    <t>Revisión y calibración de equipos de frío en camiones</t>
  </si>
  <si>
    <t>Bodega y Despacho</t>
  </si>
  <si>
    <t>RC-0011</t>
  </si>
  <si>
    <t>C013</t>
  </si>
  <si>
    <t>Supermercado El Molino</t>
  </si>
  <si>
    <t>P001461</t>
  </si>
  <si>
    <t>L20230201-L1</t>
  </si>
  <si>
    <t>RC-0012</t>
  </si>
  <si>
    <t>C072</t>
  </si>
  <si>
    <t>Café Vista Río</t>
  </si>
  <si>
    <t>P001471</t>
  </si>
  <si>
    <t>PT-402</t>
  </si>
  <si>
    <t>Sándwich Jamón Queso</t>
  </si>
  <si>
    <t>L20230130-L4</t>
  </si>
  <si>
    <t>RC-0013</t>
  </si>
  <si>
    <t>C053</t>
  </si>
  <si>
    <t>Café Aurora</t>
  </si>
  <si>
    <t>P001485</t>
  </si>
  <si>
    <t>PT-203</t>
  </si>
  <si>
    <t>Melón en Cubos 250 g</t>
  </si>
  <si>
    <t>L20230202-L2</t>
  </si>
  <si>
    <t>RC-0014</t>
  </si>
  <si>
    <t>P001597</t>
  </si>
  <si>
    <t>L20230213-L1</t>
  </si>
  <si>
    <t>RC-0015</t>
  </si>
  <si>
    <t>P001629</t>
  </si>
  <si>
    <t>PT-506</t>
  </si>
  <si>
    <t>Arroz con Leche 150 g</t>
  </si>
  <si>
    <t>L20230211-L5</t>
  </si>
  <si>
    <t>Faltante en pedido</t>
  </si>
  <si>
    <t>Error de picking</t>
  </si>
  <si>
    <t>Doble verificación de pedidos en despacho</t>
  </si>
  <si>
    <t>RC-0016</t>
  </si>
  <si>
    <t>C046</t>
  </si>
  <si>
    <t>Tienda 24/7 Las Rosas</t>
  </si>
  <si>
    <t>P001632</t>
  </si>
  <si>
    <t>PT-304</t>
  </si>
  <si>
    <t>Limonada Menta-Jengibre 500 ml</t>
  </si>
  <si>
    <t>L20230213-L3</t>
  </si>
  <si>
    <t>RC-0017</t>
  </si>
  <si>
    <t>C032</t>
  </si>
  <si>
    <t>Tienda 24/7 Del Valle</t>
  </si>
  <si>
    <t>P001670</t>
  </si>
  <si>
    <t>L20230215-L3</t>
  </si>
  <si>
    <t>RC-0018</t>
  </si>
  <si>
    <t>C010</t>
  </si>
  <si>
    <t>Supermercado Los Castaños</t>
  </si>
  <si>
    <t>P001705</t>
  </si>
  <si>
    <t>PT-102</t>
  </si>
  <si>
    <t>Ensalada Mediterránea 250 g</t>
  </si>
  <si>
    <t>L20230220-L1</t>
  </si>
  <si>
    <t>RC-0019</t>
  </si>
  <si>
    <t>C071</t>
  </si>
  <si>
    <t>Bistró Del Parque</t>
  </si>
  <si>
    <t>P001748</t>
  </si>
  <si>
    <t>PT-204</t>
  </si>
  <si>
    <t>Sandía en Cubos 400 g</t>
  </si>
  <si>
    <t>L20230221-L2</t>
  </si>
  <si>
    <t>RC-0020</t>
  </si>
  <si>
    <t>C058</t>
  </si>
  <si>
    <t>Cafetería Puerto Viejo</t>
  </si>
  <si>
    <t>P001879</t>
  </si>
  <si>
    <t>PT-201</t>
  </si>
  <si>
    <t>Mix Frutas de Estación 300 g</t>
  </si>
  <si>
    <t>L20230307-L2</t>
  </si>
  <si>
    <t>RC-0021</t>
  </si>
  <si>
    <t>C040</t>
  </si>
  <si>
    <t>Minimarket La Vecina</t>
  </si>
  <si>
    <t>P001891</t>
  </si>
  <si>
    <t>L20230307-L3</t>
  </si>
  <si>
    <t>RC-0022</t>
  </si>
  <si>
    <t>C007</t>
  </si>
  <si>
    <t>Supermercado La Frontera</t>
  </si>
  <si>
    <t>P001905</t>
  </si>
  <si>
    <t>PT-101</t>
  </si>
  <si>
    <t>Ensalada César 250 g</t>
  </si>
  <si>
    <t>L20230309-L1</t>
  </si>
  <si>
    <t>RC-0023</t>
  </si>
  <si>
    <t>C036</t>
  </si>
  <si>
    <t>Minimarket Don Lucho</t>
  </si>
  <si>
    <t>P002001</t>
  </si>
  <si>
    <t>PT-403</t>
  </si>
  <si>
    <t>Wrap Pollo César</t>
  </si>
  <si>
    <t>L20230314-L4</t>
  </si>
  <si>
    <t>RC-0024</t>
  </si>
  <si>
    <t>C070</t>
  </si>
  <si>
    <t>Café Plaza</t>
  </si>
  <si>
    <t>P002021</t>
  </si>
  <si>
    <t>L20230316-L4</t>
  </si>
  <si>
    <t>RC-0025</t>
  </si>
  <si>
    <t>C030</t>
  </si>
  <si>
    <t>Minimarket Los Pinos</t>
  </si>
  <si>
    <t>P002068</t>
  </si>
  <si>
    <t>PT-302</t>
  </si>
  <si>
    <t>Jugo de Naranja Natural 300 ml</t>
  </si>
  <si>
    <t>L20230318-L3</t>
  </si>
  <si>
    <t>RC-0026</t>
  </si>
  <si>
    <t>C004</t>
  </si>
  <si>
    <t>Supermercado Santa Elena</t>
  </si>
  <si>
    <t>P002138</t>
  </si>
  <si>
    <t>L20230325-L4</t>
  </si>
  <si>
    <t>RC-0027</t>
  </si>
  <si>
    <t>C015</t>
  </si>
  <si>
    <t>Distribuidora Norte Grande</t>
  </si>
  <si>
    <t>P002158</t>
  </si>
  <si>
    <t>L20230329-L4</t>
  </si>
  <si>
    <t>RC-0028</t>
  </si>
  <si>
    <t>C044</t>
  </si>
  <si>
    <t>Tienda 24/7 Colón</t>
  </si>
  <si>
    <t>P002163</t>
  </si>
  <si>
    <t>L20230325-L1</t>
  </si>
  <si>
    <t>RC-0029</t>
  </si>
  <si>
    <t>C018</t>
  </si>
  <si>
    <t>Logística Frío Araucanía</t>
  </si>
  <si>
    <t>P002197</t>
  </si>
  <si>
    <t>L20230328-L4</t>
  </si>
  <si>
    <t>RC-0030</t>
  </si>
  <si>
    <t>C068</t>
  </si>
  <si>
    <t>Restaurant Aurora</t>
  </si>
  <si>
    <t>P002215</t>
  </si>
  <si>
    <t>L20230401-L1</t>
  </si>
  <si>
    <t>RC-0031</t>
  </si>
  <si>
    <t>C073</t>
  </si>
  <si>
    <t>Sushi &amp; Bowl El Arrayán</t>
  </si>
  <si>
    <t>P002247</t>
  </si>
  <si>
    <t>L20230330-L3</t>
  </si>
  <si>
    <t>RC-0032</t>
  </si>
  <si>
    <t>C033</t>
  </si>
  <si>
    <t>Botillería y Market Lomas</t>
  </si>
  <si>
    <t>P002263</t>
  </si>
  <si>
    <t>L20230401-L3</t>
  </si>
  <si>
    <t>RC-0033</t>
  </si>
  <si>
    <t>C020</t>
  </si>
  <si>
    <t>Comercial Patagonia</t>
  </si>
  <si>
    <t>P002302</t>
  </si>
  <si>
    <t>PT-206</t>
  </si>
  <si>
    <t>Manzana en Rodajas 150 g</t>
  </si>
  <si>
    <t>L20230410-L2</t>
  </si>
  <si>
    <t>RC-0034</t>
  </si>
  <si>
    <t>C085</t>
  </si>
  <si>
    <t>Oficinas Del Sur</t>
  </si>
  <si>
    <t>P002351</t>
  </si>
  <si>
    <t>L20230413-L4</t>
  </si>
  <si>
    <t>RC-0035</t>
  </si>
  <si>
    <t>P002354</t>
  </si>
  <si>
    <t>L20230413-L3</t>
  </si>
  <si>
    <t>RC-0036</t>
  </si>
  <si>
    <t>P002409</t>
  </si>
  <si>
    <t>L20230415-L2</t>
  </si>
  <si>
    <t>RC-0037</t>
  </si>
  <si>
    <t>P002481</t>
  </si>
  <si>
    <t>L20230422-L2</t>
  </si>
  <si>
    <t>RC-0038</t>
  </si>
  <si>
    <t>C022</t>
  </si>
  <si>
    <t>Almacén Mirador</t>
  </si>
  <si>
    <t>P002499</t>
  </si>
  <si>
    <t>L20230421-L4</t>
  </si>
  <si>
    <t>RC-0039</t>
  </si>
  <si>
    <t>P002542</t>
  </si>
  <si>
    <t>PT-105</t>
  </si>
  <si>
    <t>Ensalada Quinoa y Palta 250 g</t>
  </si>
  <si>
    <t>L20230425-L1</t>
  </si>
  <si>
    <t>RC-0040</t>
  </si>
  <si>
    <t>P002554</t>
  </si>
  <si>
    <t>L20230429-L4</t>
  </si>
  <si>
    <t>RC-0041</t>
  </si>
  <si>
    <t>C038</t>
  </si>
  <si>
    <t>Almacén San Martín</t>
  </si>
  <si>
    <t>P002592</t>
  </si>
  <si>
    <t>L20230429-L3</t>
  </si>
  <si>
    <t>RC-0042</t>
  </si>
  <si>
    <t>P002608</t>
  </si>
  <si>
    <t>L20230503-L2</t>
  </si>
  <si>
    <t>RC-0043</t>
  </si>
  <si>
    <t>C005</t>
  </si>
  <si>
    <t>Supermercado Nuevo Sur</t>
  </si>
  <si>
    <t>P002609</t>
  </si>
  <si>
    <t>L20230503-L3</t>
  </si>
  <si>
    <t>RC-0044</t>
  </si>
  <si>
    <t>P002647</t>
  </si>
  <si>
    <t>L20230506-L1</t>
  </si>
  <si>
    <t>RC-0045</t>
  </si>
  <si>
    <t>C029</t>
  </si>
  <si>
    <t>Minimarket Las Rosas</t>
  </si>
  <si>
    <t>P002667</t>
  </si>
  <si>
    <t>PT-405</t>
  </si>
  <si>
    <t>Sándwich Mechada Queso</t>
  </si>
  <si>
    <t>L20230508-L4</t>
  </si>
  <si>
    <t>RC-0046</t>
  </si>
  <si>
    <t>P002741</t>
  </si>
  <si>
    <t>L20230517-L4</t>
  </si>
  <si>
    <t>RC-0047</t>
  </si>
  <si>
    <t>C012</t>
  </si>
  <si>
    <t>Supermercado Punto Fresco</t>
  </si>
  <si>
    <t>P002742</t>
  </si>
  <si>
    <t>RC-0048</t>
  </si>
  <si>
    <t>P002782</t>
  </si>
  <si>
    <t>L20230516-L4</t>
  </si>
  <si>
    <t>RC-0049</t>
  </si>
  <si>
    <t>C009</t>
  </si>
  <si>
    <t>Supermercado Mercado Austral</t>
  </si>
  <si>
    <t>P002796</t>
  </si>
  <si>
    <t>L20230518-L2</t>
  </si>
  <si>
    <t>RC-0050</t>
  </si>
  <si>
    <t>C017</t>
  </si>
  <si>
    <t>Distribuidora Pacífico Central</t>
  </si>
  <si>
    <t>P002829</t>
  </si>
  <si>
    <t>L20230520-L1</t>
  </si>
  <si>
    <t>RC-0051</t>
  </si>
  <si>
    <t>C016</t>
  </si>
  <si>
    <t>Comercial Elqui</t>
  </si>
  <si>
    <t>P002867</t>
  </si>
  <si>
    <t>PT-501</t>
  </si>
  <si>
    <t>Mousse de Chocolate 120 g</t>
  </si>
  <si>
    <t>L20230525-L5</t>
  </si>
  <si>
    <t>RC-0052</t>
  </si>
  <si>
    <t>C031</t>
  </si>
  <si>
    <t>Tienda 24/7 La Vecina</t>
  </si>
  <si>
    <t>P002871</t>
  </si>
  <si>
    <t>PT-205</t>
  </si>
  <si>
    <t>Frutillas Laminadas 200 g</t>
  </si>
  <si>
    <t>L20230526-L2</t>
  </si>
  <si>
    <t>RC-0053</t>
  </si>
  <si>
    <t>C008</t>
  </si>
  <si>
    <t>Supermercado El Roble</t>
  </si>
  <si>
    <t>P002883</t>
  </si>
  <si>
    <t>L20230525-L3</t>
  </si>
  <si>
    <t>RC-0054</t>
  </si>
  <si>
    <t>P002926</t>
  </si>
  <si>
    <t>L20230527-L4</t>
  </si>
  <si>
    <t>RC-0055</t>
  </si>
  <si>
    <t>P002961</t>
  </si>
  <si>
    <t>L20230531-L2</t>
  </si>
  <si>
    <t>RC-0056</t>
  </si>
  <si>
    <t>P002997</t>
  </si>
  <si>
    <t>L20230605-L3</t>
  </si>
  <si>
    <t>RC-0057</t>
  </si>
  <si>
    <t>C061</t>
  </si>
  <si>
    <t>Restaurant Mar Adentro</t>
  </si>
  <si>
    <t>P003002</t>
  </si>
  <si>
    <t>L20230606-L5</t>
  </si>
  <si>
    <t>RC-0058</t>
  </si>
  <si>
    <t>P003088</t>
  </si>
  <si>
    <t>PT-502</t>
  </si>
  <si>
    <t>Leche Asada 150 g</t>
  </si>
  <si>
    <t>L20230609-L5</t>
  </si>
  <si>
    <t>RC-0059</t>
  </si>
  <si>
    <t>P003110</t>
  </si>
  <si>
    <t>L20230613-L4</t>
  </si>
  <si>
    <t>RC-0060</t>
  </si>
  <si>
    <t>C023</t>
  </si>
  <si>
    <t>Minimarket Colón</t>
  </si>
  <si>
    <t>P003116</t>
  </si>
  <si>
    <t>L20230612-L1</t>
  </si>
  <si>
    <t>RC-0061</t>
  </si>
  <si>
    <t>C081</t>
  </si>
  <si>
    <t>Colegio Cordillera</t>
  </si>
  <si>
    <t>P003202</t>
  </si>
  <si>
    <t>L20230619-L4</t>
  </si>
  <si>
    <t>RC-0062</t>
  </si>
  <si>
    <t>C001</t>
  </si>
  <si>
    <t>Supermercado El Trigal</t>
  </si>
  <si>
    <t>P003205</t>
  </si>
  <si>
    <t>L20230622-L5</t>
  </si>
  <si>
    <t>RC-0063</t>
  </si>
  <si>
    <t>P003206</t>
  </si>
  <si>
    <t>L20230620-L3</t>
  </si>
  <si>
    <t>RC-0064</t>
  </si>
  <si>
    <t>P003263</t>
  </si>
  <si>
    <t>PT-202</t>
  </si>
  <si>
    <t>Piña en Trozos 250 g</t>
  </si>
  <si>
    <t>L20230624-L2</t>
  </si>
  <si>
    <t>RC-0065</t>
  </si>
  <si>
    <t>C028</t>
  </si>
  <si>
    <t>Botillería y Market Mirador</t>
  </si>
  <si>
    <t>P003266</t>
  </si>
  <si>
    <t>L20230624-L5</t>
  </si>
  <si>
    <t>RC-0066</t>
  </si>
  <si>
    <t>P003326</t>
  </si>
  <si>
    <t>L20230703-L3</t>
  </si>
  <si>
    <t>RC-0067</t>
  </si>
  <si>
    <t>P003369</t>
  </si>
  <si>
    <t>L20230706-L1</t>
  </si>
  <si>
    <t>RC-0068</t>
  </si>
  <si>
    <t>P003404</t>
  </si>
  <si>
    <t>L20230708-L4</t>
  </si>
  <si>
    <t>RC-0069</t>
  </si>
  <si>
    <t>P003434</t>
  </si>
  <si>
    <t>L20230713-L4</t>
  </si>
  <si>
    <t>RC-0070</t>
  </si>
  <si>
    <t>P003472</t>
  </si>
  <si>
    <t>L20230715-L1</t>
  </si>
  <si>
    <t>RC-0071</t>
  </si>
  <si>
    <t>P003473</t>
  </si>
  <si>
    <t>L20230714-L5</t>
  </si>
  <si>
    <t>RC-0072</t>
  </si>
  <si>
    <t>P003504</t>
  </si>
  <si>
    <t>L20230715-L4</t>
  </si>
  <si>
    <t>RC-0073</t>
  </si>
  <si>
    <t>P003523</t>
  </si>
  <si>
    <t>PT-406</t>
  </si>
  <si>
    <t>Sándwich Integral Pavo</t>
  </si>
  <si>
    <t>L20230717-L4</t>
  </si>
  <si>
    <t>RC-0074</t>
  </si>
  <si>
    <t>P003540</t>
  </si>
  <si>
    <t>L20230720-L3</t>
  </si>
  <si>
    <t>RC-0075</t>
  </si>
  <si>
    <t>C050</t>
  </si>
  <si>
    <t>Sushi &amp; Bowl Amanecer</t>
  </si>
  <si>
    <t>P003567</t>
  </si>
  <si>
    <t>PT-106</t>
  </si>
  <si>
    <t>Lechuga Hidropónica Lavada 150 g</t>
  </si>
  <si>
    <t>L20230719-L1</t>
  </si>
  <si>
    <t>RC-0076</t>
  </si>
  <si>
    <t>C037</t>
  </si>
  <si>
    <t>Botillería y Market El Paso</t>
  </si>
  <si>
    <t>P003580</t>
  </si>
  <si>
    <t>PT-401</t>
  </si>
  <si>
    <t>Sándwich Ave Palta</t>
  </si>
  <si>
    <t>L20230722-L4</t>
  </si>
  <si>
    <t>RC-0077</t>
  </si>
  <si>
    <t>C014</t>
  </si>
  <si>
    <t>Supermercado Costanera</t>
  </si>
  <si>
    <t>P003664</t>
  </si>
  <si>
    <t>L20230727-L2</t>
  </si>
  <si>
    <t>RC-0078</t>
  </si>
  <si>
    <t>P003672</t>
  </si>
  <si>
    <t>L20230729-L1</t>
  </si>
  <si>
    <t>RC-0079</t>
  </si>
  <si>
    <t>P003796</t>
  </si>
  <si>
    <t>L20230811-L4</t>
  </si>
  <si>
    <t>RC-0080</t>
  </si>
  <si>
    <t>P003829</t>
  </si>
  <si>
    <t>L20230814-L5</t>
  </si>
  <si>
    <t>RC-0081</t>
  </si>
  <si>
    <t>P003945</t>
  </si>
  <si>
    <t>L20230824-L4</t>
  </si>
  <si>
    <t>RC-0082</t>
  </si>
  <si>
    <t>C034</t>
  </si>
  <si>
    <t>Tienda 24/7 Collao</t>
  </si>
  <si>
    <t>P003955</t>
  </si>
  <si>
    <t>L20230822-L3</t>
  </si>
  <si>
    <t>RC-0083</t>
  </si>
  <si>
    <t>P003975</t>
  </si>
  <si>
    <t>L20230825-L4</t>
  </si>
  <si>
    <t>RC-0084</t>
  </si>
  <si>
    <t>P003983</t>
  </si>
  <si>
    <t>L20230826-L1</t>
  </si>
  <si>
    <t>RC-0085</t>
  </si>
  <si>
    <t>C086</t>
  </si>
  <si>
    <t>Oficinas Nativo</t>
  </si>
  <si>
    <t>P004004</t>
  </si>
  <si>
    <t>L20230826-L3</t>
  </si>
  <si>
    <t>RC-0086</t>
  </si>
  <si>
    <t>P004028</t>
  </si>
  <si>
    <t>L20230829-L2</t>
  </si>
  <si>
    <t>RC-0087</t>
  </si>
  <si>
    <t>P004035</t>
  </si>
  <si>
    <t>L20230830-L1</t>
  </si>
  <si>
    <t>RC-0088</t>
  </si>
  <si>
    <t>P004109</t>
  </si>
  <si>
    <t>L20230902-L1</t>
  </si>
  <si>
    <t>RC-0089</t>
  </si>
  <si>
    <t>P004112</t>
  </si>
  <si>
    <t>L20230905-L4</t>
  </si>
  <si>
    <t>RC-0090</t>
  </si>
  <si>
    <t>C002</t>
  </si>
  <si>
    <t>Supermercado Don Pancho</t>
  </si>
  <si>
    <t>P004120</t>
  </si>
  <si>
    <t>L20230906-L1</t>
  </si>
  <si>
    <t>RC-0091</t>
  </si>
  <si>
    <t>P004125</t>
  </si>
  <si>
    <t>L20230907-L5</t>
  </si>
  <si>
    <t>RC-0092</t>
  </si>
  <si>
    <t>P004251</t>
  </si>
  <si>
    <t>L20230916-L5</t>
  </si>
  <si>
    <t>RC-0093</t>
  </si>
  <si>
    <t>P004252</t>
  </si>
  <si>
    <t>L20230916-L2</t>
  </si>
  <si>
    <t>RC-0094</t>
  </si>
  <si>
    <t>P004264</t>
  </si>
  <si>
    <t>RC-0095</t>
  </si>
  <si>
    <t>P004312</t>
  </si>
  <si>
    <t>L20230923-L5</t>
  </si>
  <si>
    <t>RC-0096</t>
  </si>
  <si>
    <t>P004331</t>
  </si>
  <si>
    <t>RC-0097</t>
  </si>
  <si>
    <t>P004342</t>
  </si>
  <si>
    <t>L20230927-L5</t>
  </si>
  <si>
    <t>RC-0098</t>
  </si>
  <si>
    <t>P004385</t>
  </si>
  <si>
    <t>L20231003-L2</t>
  </si>
  <si>
    <t>RC-0099</t>
  </si>
  <si>
    <t>C078</t>
  </si>
  <si>
    <t>Gimnasio Del Sur</t>
  </si>
  <si>
    <t>P004436</t>
  </si>
  <si>
    <t>L20231003-L4</t>
  </si>
  <si>
    <t>RC-0100</t>
  </si>
  <si>
    <t>P004499</t>
  </si>
  <si>
    <t>L20231007-L2</t>
  </si>
  <si>
    <t>RC-0101</t>
  </si>
  <si>
    <t>C025</t>
  </si>
  <si>
    <t>Botillería y Market Brisas</t>
  </si>
  <si>
    <t>P004506</t>
  </si>
  <si>
    <t>L20231011-L1</t>
  </si>
  <si>
    <t>RC-0102</t>
  </si>
  <si>
    <t>P004518</t>
  </si>
  <si>
    <t>RC-0103</t>
  </si>
  <si>
    <t>P004537</t>
  </si>
  <si>
    <t>L20231013-L4</t>
  </si>
  <si>
    <t>RC-0104</t>
  </si>
  <si>
    <t>P004551</t>
  </si>
  <si>
    <t>L20231014-L4</t>
  </si>
  <si>
    <t>RC-0105</t>
  </si>
  <si>
    <t>P004554</t>
  </si>
  <si>
    <t>L20231012-L1</t>
  </si>
  <si>
    <t>RC-0106</t>
  </si>
  <si>
    <t>P004588</t>
  </si>
  <si>
    <t>L20231014-L5</t>
  </si>
  <si>
    <t>RC-0107</t>
  </si>
  <si>
    <t>P004605</t>
  </si>
  <si>
    <t>L20231019-L3</t>
  </si>
  <si>
    <t>RC-0108</t>
  </si>
  <si>
    <t>P004621</t>
  </si>
  <si>
    <t>L20231019-L2</t>
  </si>
  <si>
    <t>RC-0109</t>
  </si>
  <si>
    <t>P004654</t>
  </si>
  <si>
    <t>L20231019-L1</t>
  </si>
  <si>
    <t>RC-0110</t>
  </si>
  <si>
    <t>P004714</t>
  </si>
  <si>
    <t>L20231028-L3</t>
  </si>
  <si>
    <t>RC-0111</t>
  </si>
  <si>
    <t>P004750</t>
  </si>
  <si>
    <t>RC-0112</t>
  </si>
  <si>
    <t>C049</t>
  </si>
  <si>
    <t>Cafetería Amanecer</t>
  </si>
  <si>
    <t>P004846</t>
  </si>
  <si>
    <t>L20231108-L3</t>
  </si>
  <si>
    <t>RC-0113</t>
  </si>
  <si>
    <t>C059</t>
  </si>
  <si>
    <t>Casino Del Parque</t>
  </si>
  <si>
    <t>P004848</t>
  </si>
  <si>
    <t>RC-0114</t>
  </si>
  <si>
    <t>P004880</t>
  </si>
  <si>
    <t>RC-0115</t>
  </si>
  <si>
    <t>P004904</t>
  </si>
  <si>
    <t>L20231111-L3</t>
  </si>
  <si>
    <t>RC-0116</t>
  </si>
  <si>
    <t>P004962</t>
  </si>
  <si>
    <t>L20231117-L2</t>
  </si>
  <si>
    <t>RC-0117</t>
  </si>
  <si>
    <t>P004971</t>
  </si>
  <si>
    <t>L20231115-L5</t>
  </si>
  <si>
    <t>RC-0118</t>
  </si>
  <si>
    <t>C035</t>
  </si>
  <si>
    <t>Botillería y Market Colón</t>
  </si>
  <si>
    <t>P004980</t>
  </si>
  <si>
    <t>L20231116-L3</t>
  </si>
  <si>
    <t>RC-0119</t>
  </si>
  <si>
    <t>P005004</t>
  </si>
  <si>
    <t>L20231120-L3</t>
  </si>
  <si>
    <t>RC-0120</t>
  </si>
  <si>
    <t>P005041</t>
  </si>
  <si>
    <t>L20231122-L2</t>
  </si>
  <si>
    <t>RC-0121</t>
  </si>
  <si>
    <t>P005057</t>
  </si>
  <si>
    <t>L20231122-L3</t>
  </si>
  <si>
    <t>RC-0122</t>
  </si>
  <si>
    <t>C087</t>
  </si>
  <si>
    <t>Oficinas San Andrés</t>
  </si>
  <si>
    <t>P005073</t>
  </si>
  <si>
    <t>RC-0123</t>
  </si>
  <si>
    <t>P005112</t>
  </si>
  <si>
    <t>L20231127-L1</t>
  </si>
  <si>
    <t>RC-0124</t>
  </si>
  <si>
    <t>P005137</t>
  </si>
  <si>
    <t>L20231129-L2</t>
  </si>
  <si>
    <t>RC-0125</t>
  </si>
  <si>
    <t>P005161</t>
  </si>
  <si>
    <t>L20231130-L5</t>
  </si>
  <si>
    <t>RC-0126</t>
  </si>
  <si>
    <t>P005166</t>
  </si>
  <si>
    <t>L20231202-L3</t>
  </si>
  <si>
    <t>RC-0127</t>
  </si>
  <si>
    <t>C069</t>
  </si>
  <si>
    <t>Restaurant Brisa Sur</t>
  </si>
  <si>
    <t>P005216</t>
  </si>
  <si>
    <t>L20231204-L3</t>
  </si>
  <si>
    <t>RC-0128</t>
  </si>
  <si>
    <t>P005251</t>
  </si>
  <si>
    <t>L20231209-L2</t>
  </si>
  <si>
    <t>RC-0129</t>
  </si>
  <si>
    <t>C039</t>
  </si>
  <si>
    <t>Minimarket Estación</t>
  </si>
  <si>
    <t>P005254</t>
  </si>
  <si>
    <t>L20231207-L4</t>
  </si>
  <si>
    <t>RC-0130</t>
  </si>
  <si>
    <t>P005391</t>
  </si>
  <si>
    <t>L20231220-L1</t>
  </si>
  <si>
    <t>RC-0131</t>
  </si>
  <si>
    <t>P005394</t>
  </si>
  <si>
    <t>L20231219-L3</t>
  </si>
  <si>
    <t>RC-0132</t>
  </si>
  <si>
    <t>C064</t>
  </si>
  <si>
    <t>Sushi &amp; Bowl La Terraza</t>
  </si>
  <si>
    <t>P005436</t>
  </si>
  <si>
    <t>L20231223-L2</t>
  </si>
  <si>
    <t>RC-0133</t>
  </si>
  <si>
    <t>P005451</t>
  </si>
  <si>
    <t>L20231223-L1</t>
  </si>
  <si>
    <t>RC-0134</t>
  </si>
  <si>
    <t>P005480</t>
  </si>
  <si>
    <t>RC-0135</t>
  </si>
  <si>
    <t>C048</t>
  </si>
  <si>
    <t>Sushi &amp; Bowl Aurora</t>
  </si>
  <si>
    <t>P005484</t>
  </si>
  <si>
    <t>RC-0136</t>
  </si>
  <si>
    <t>P005491</t>
  </si>
  <si>
    <t>L20231229-L5</t>
  </si>
  <si>
    <t>RC-0137</t>
  </si>
  <si>
    <t>P005564</t>
  </si>
  <si>
    <t>L20240103-L2</t>
  </si>
  <si>
    <t>RC-0138</t>
  </si>
  <si>
    <t>P005573</t>
  </si>
  <si>
    <t>L20240105-L5</t>
  </si>
  <si>
    <t>RC-0139</t>
  </si>
  <si>
    <t>P005628</t>
  </si>
  <si>
    <t>L20240109-L5</t>
  </si>
  <si>
    <t>RC-0140</t>
  </si>
  <si>
    <t>P005664</t>
  </si>
  <si>
    <t>L20240113-L5</t>
  </si>
  <si>
    <t>RC-0141</t>
  </si>
  <si>
    <t>C066</t>
  </si>
  <si>
    <t>Sushi &amp; Bowl Tres Pinos</t>
  </si>
  <si>
    <t>P005665</t>
  </si>
  <si>
    <t>L20240113-L1</t>
  </si>
  <si>
    <t>RC-0142</t>
  </si>
  <si>
    <t>P005711</t>
  </si>
  <si>
    <t>L20240115-L1</t>
  </si>
  <si>
    <t>RC-0143</t>
  </si>
  <si>
    <t>C084</t>
  </si>
  <si>
    <t>Gimnasio Nativo</t>
  </si>
  <si>
    <t>P005732</t>
  </si>
  <si>
    <t>L20240118-L2</t>
  </si>
  <si>
    <t>RC-0144</t>
  </si>
  <si>
    <t>P005739</t>
  </si>
  <si>
    <t>L20240117-L3</t>
  </si>
  <si>
    <t>RC-0145</t>
  </si>
  <si>
    <t>P005772</t>
  </si>
  <si>
    <t>L20240119-L5</t>
  </si>
  <si>
    <t>RC-0146</t>
  </si>
  <si>
    <t>P005782</t>
  </si>
  <si>
    <t>L20240122-L3</t>
  </si>
  <si>
    <t>RC-0147</t>
  </si>
  <si>
    <t>P005795</t>
  </si>
  <si>
    <t>L20240120-L4</t>
  </si>
  <si>
    <t>RC-0148</t>
  </si>
  <si>
    <t>P005853</t>
  </si>
  <si>
    <t>L20240126-L2</t>
  </si>
  <si>
    <t>RC-0149</t>
  </si>
  <si>
    <t>P005869</t>
  </si>
  <si>
    <t>L20240127-L1</t>
  </si>
  <si>
    <t>RC-0150</t>
  </si>
  <si>
    <t>P005897</t>
  </si>
  <si>
    <t>L20240131-L1</t>
  </si>
  <si>
    <t>RC-0151</t>
  </si>
  <si>
    <t>P005923</t>
  </si>
  <si>
    <t>L20240203-L4</t>
  </si>
  <si>
    <t>RC-0152</t>
  </si>
  <si>
    <t>P005968</t>
  </si>
  <si>
    <t>L20240203-L2</t>
  </si>
  <si>
    <t>RC-0153</t>
  </si>
  <si>
    <t>C088</t>
  </si>
  <si>
    <t>Gimnasio Pacífico</t>
  </si>
  <si>
    <t>P006013</t>
  </si>
  <si>
    <t>L20240209-L1</t>
  </si>
  <si>
    <t>RC-0154</t>
  </si>
  <si>
    <t>P006016</t>
  </si>
  <si>
    <t>L20240210-L1</t>
  </si>
  <si>
    <t>RC-0155</t>
  </si>
  <si>
    <t>P006163</t>
  </si>
  <si>
    <t>L20240221-L5</t>
  </si>
  <si>
    <t>RC-0156</t>
  </si>
  <si>
    <t>P006212</t>
  </si>
  <si>
    <t>L20240224-L1</t>
  </si>
  <si>
    <t>RC-0157</t>
  </si>
  <si>
    <t>P006215</t>
  </si>
  <si>
    <t>L20240226-L4</t>
  </si>
  <si>
    <t>RC-0158</t>
  </si>
  <si>
    <t>P006230</t>
  </si>
  <si>
    <t>L20240226-L1</t>
  </si>
  <si>
    <t>RC-0159</t>
  </si>
  <si>
    <t>P006263</t>
  </si>
  <si>
    <t>L20240301-L1</t>
  </si>
  <si>
    <t>RC-0160</t>
  </si>
  <si>
    <t>P006289</t>
  </si>
  <si>
    <t>L20240302-L1</t>
  </si>
  <si>
    <t>RC-0161</t>
  </si>
  <si>
    <t>P006316</t>
  </si>
  <si>
    <t>L20240305-L1</t>
  </si>
  <si>
    <t>RC-0162</t>
  </si>
  <si>
    <t>P006355</t>
  </si>
  <si>
    <t>L20240308-L2</t>
  </si>
  <si>
    <t>RC-0163</t>
  </si>
  <si>
    <t>P006369</t>
  </si>
  <si>
    <t>L20240308-L3</t>
  </si>
  <si>
    <t>RC-0164</t>
  </si>
  <si>
    <t>P006370</t>
  </si>
  <si>
    <t>L20240309-L5</t>
  </si>
  <si>
    <t>RC-0165</t>
  </si>
  <si>
    <t>P006379</t>
  </si>
  <si>
    <t>L20240309-L2</t>
  </si>
  <si>
    <t>RC-0166</t>
  </si>
  <si>
    <t>P006399</t>
  </si>
  <si>
    <t>L20240313-L5</t>
  </si>
  <si>
    <t>RC-0167</t>
  </si>
  <si>
    <t>P006402</t>
  </si>
  <si>
    <t>L20240309-L1</t>
  </si>
  <si>
    <t>RC-0168</t>
  </si>
  <si>
    <t>P006420</t>
  </si>
  <si>
    <t>L20240313-L1</t>
  </si>
  <si>
    <t>RC-0169</t>
  </si>
  <si>
    <t>C065</t>
  </si>
  <si>
    <t>Casino La Terraza</t>
  </si>
  <si>
    <t>P006425</t>
  </si>
  <si>
    <t>L20240314-L1</t>
  </si>
  <si>
    <t>RC-0170</t>
  </si>
  <si>
    <t>P006440</t>
  </si>
  <si>
    <t>L20240316-L3</t>
  </si>
  <si>
    <t>RC-0171</t>
  </si>
  <si>
    <t>C060</t>
  </si>
  <si>
    <t>Hotel Vista Río</t>
  </si>
  <si>
    <t>P006498</t>
  </si>
  <si>
    <t>RC-0172</t>
  </si>
  <si>
    <t>P006530</t>
  </si>
  <si>
    <t>L20240322-L5</t>
  </si>
  <si>
    <t>RC-0173</t>
  </si>
  <si>
    <t>P006566</t>
  </si>
  <si>
    <t>L20240322-L4</t>
  </si>
  <si>
    <t>RC-0174</t>
  </si>
  <si>
    <t>P006579</t>
  </si>
  <si>
    <t>L20240323-L1</t>
  </si>
  <si>
    <t>RC-0175</t>
  </si>
  <si>
    <t>P006605</t>
  </si>
  <si>
    <t>L20240327-L2</t>
  </si>
  <si>
    <t>RC-0176</t>
  </si>
  <si>
    <t>P006639</t>
  </si>
  <si>
    <t>L20240328-L4</t>
  </si>
  <si>
    <t>Formulario estandarizado</t>
  </si>
  <si>
    <t>RC-0177</t>
  </si>
  <si>
    <t>P006692</t>
  </si>
  <si>
    <t>L20240406-L4</t>
  </si>
  <si>
    <t>RC-0178</t>
  </si>
  <si>
    <t>P006726</t>
  </si>
  <si>
    <t>L20240406-L2</t>
  </si>
  <si>
    <t>RC-0179</t>
  </si>
  <si>
    <t>P006780</t>
  </si>
  <si>
    <t>L20240411-L4</t>
  </si>
  <si>
    <t>RC-0180</t>
  </si>
  <si>
    <t>P006790</t>
  </si>
  <si>
    <t>L20240410-L3</t>
  </si>
  <si>
    <t>RC-0181</t>
  </si>
  <si>
    <t>P006803</t>
  </si>
  <si>
    <t>L20240416-L4</t>
  </si>
  <si>
    <t>RC-0182</t>
  </si>
  <si>
    <t>P006929</t>
  </si>
  <si>
    <t>L20240422-L4</t>
  </si>
  <si>
    <t>RC-0183</t>
  </si>
  <si>
    <t>P007014</t>
  </si>
  <si>
    <t>L20240430-L4</t>
  </si>
  <si>
    <t>RC-0184</t>
  </si>
  <si>
    <t>C024</t>
  </si>
  <si>
    <t>Botillería y Market El Faro</t>
  </si>
  <si>
    <t>P007039</t>
  </si>
  <si>
    <t>L20240506-L5</t>
  </si>
  <si>
    <t>RC-0185</t>
  </si>
  <si>
    <t>P007157</t>
  </si>
  <si>
    <t>L20240514-L4</t>
  </si>
  <si>
    <t>RC-0186</t>
  </si>
  <si>
    <t>P007160</t>
  </si>
  <si>
    <t>L20240514-L2</t>
  </si>
  <si>
    <t>RC-0187</t>
  </si>
  <si>
    <t>P007255</t>
  </si>
  <si>
    <t>L20240520-L3</t>
  </si>
  <si>
    <t>RC-0188</t>
  </si>
  <si>
    <t>P007279</t>
  </si>
  <si>
    <t>L20240525-L5</t>
  </si>
  <si>
    <t>RC-0189</t>
  </si>
  <si>
    <t>P007350</t>
  </si>
  <si>
    <t>L20240530-L4</t>
  </si>
  <si>
    <t>RC-0190</t>
  </si>
  <si>
    <t>P007467</t>
  </si>
  <si>
    <t>L20240606-L5</t>
  </si>
  <si>
    <t>RC-0191</t>
  </si>
  <si>
    <t>P007490</t>
  </si>
  <si>
    <t>L20240608-L3</t>
  </si>
  <si>
    <t>RC-0192</t>
  </si>
  <si>
    <t>P007561</t>
  </si>
  <si>
    <t>L20240615-L2</t>
  </si>
  <si>
    <t>RC-0193</t>
  </si>
  <si>
    <t>P007569</t>
  </si>
  <si>
    <t>L20240618-L5</t>
  </si>
  <si>
    <t>RC-0194</t>
  </si>
  <si>
    <t>C063</t>
  </si>
  <si>
    <t>Restaurant Los Canelos</t>
  </si>
  <si>
    <t>P007581</t>
  </si>
  <si>
    <t>L20240615-L4</t>
  </si>
  <si>
    <t>RC-0195</t>
  </si>
  <si>
    <t>P007779</t>
  </si>
  <si>
    <t>L20240703-L3</t>
  </si>
  <si>
    <t>RC-0196</t>
  </si>
  <si>
    <t>C057</t>
  </si>
  <si>
    <t>Hotel Andes</t>
  </si>
  <si>
    <t>P007821</t>
  </si>
  <si>
    <t>L20240706-L1</t>
  </si>
  <si>
    <t>RC-0197</t>
  </si>
  <si>
    <t>P007902</t>
  </si>
  <si>
    <t>L20240711-L4</t>
  </si>
  <si>
    <t>RC-0198</t>
  </si>
  <si>
    <t>P007915</t>
  </si>
  <si>
    <t>L20240715-L5</t>
  </si>
  <si>
    <t>RC-0199</t>
  </si>
  <si>
    <t>P007924</t>
  </si>
  <si>
    <t>L20240713-L5</t>
  </si>
  <si>
    <t>RC-0200</t>
  </si>
  <si>
    <t>P007930</t>
  </si>
  <si>
    <t>L20240715-L4</t>
  </si>
  <si>
    <t>RC-0201</t>
  </si>
  <si>
    <t>P008001</t>
  </si>
  <si>
    <t>L20240722-L1</t>
  </si>
  <si>
    <t>RC-0202</t>
  </si>
  <si>
    <t>P008069</t>
  </si>
  <si>
    <t>L20240727-L1</t>
  </si>
  <si>
    <t>RC-0203</t>
  </si>
  <si>
    <t>P008147</t>
  </si>
  <si>
    <t>L20240803-L1</t>
  </si>
  <si>
    <t>RC-0204</t>
  </si>
  <si>
    <t>P008154</t>
  </si>
  <si>
    <t>RC-0205</t>
  </si>
  <si>
    <t>P008200</t>
  </si>
  <si>
    <t>L20240808-L3</t>
  </si>
  <si>
    <t>RC-0206</t>
  </si>
  <si>
    <t>P008308</t>
  </si>
  <si>
    <t>L20240814-L1</t>
  </si>
  <si>
    <t>RC-0207</t>
  </si>
  <si>
    <t>P008341</t>
  </si>
  <si>
    <t>L20240816-L4</t>
  </si>
  <si>
    <t>RC-0208</t>
  </si>
  <si>
    <t>P008383</t>
  </si>
  <si>
    <t>L20240823-L4</t>
  </si>
  <si>
    <t>RC-0209</t>
  </si>
  <si>
    <t>P008397</t>
  </si>
  <si>
    <t>L20240824-L1</t>
  </si>
  <si>
    <t>RC-0210</t>
  </si>
  <si>
    <t>P008415</t>
  </si>
  <si>
    <t>L20240824-L4</t>
  </si>
  <si>
    <t>RC-0211</t>
  </si>
  <si>
    <t>P008417</t>
  </si>
  <si>
    <t>RC-0212</t>
  </si>
  <si>
    <t>P008506</t>
  </si>
  <si>
    <t>L20240830-L5</t>
  </si>
  <si>
    <t>RC-0213</t>
  </si>
  <si>
    <t>C055</t>
  </si>
  <si>
    <t>Sushi &amp; Bowl Mar Adentro</t>
  </si>
  <si>
    <t>P008540</t>
  </si>
  <si>
    <t>L20240905-L2</t>
  </si>
  <si>
    <t>RC-0214</t>
  </si>
  <si>
    <t>P008553</t>
  </si>
  <si>
    <t>L20240904-L2</t>
  </si>
  <si>
    <t>RC-0215</t>
  </si>
  <si>
    <t>P008611</t>
  </si>
  <si>
    <t>L20240910-L2</t>
  </si>
  <si>
    <t>RC-0216</t>
  </si>
  <si>
    <t>P008710</t>
  </si>
  <si>
    <t>L20240917-L2</t>
  </si>
  <si>
    <t>RC-0217</t>
  </si>
  <si>
    <t>P008749</t>
  </si>
  <si>
    <t>L20240917-L5</t>
  </si>
  <si>
    <t>RC-0218</t>
  </si>
  <si>
    <t>P008813</t>
  </si>
  <si>
    <t>L20240928-L3</t>
  </si>
  <si>
    <t>RC-0219</t>
  </si>
  <si>
    <t>P008853</t>
  </si>
  <si>
    <t>L20240930-L2</t>
  </si>
  <si>
    <t>RC-0220</t>
  </si>
  <si>
    <t>C043</t>
  </si>
  <si>
    <t>Minimarket El Paso</t>
  </si>
  <si>
    <t>P008865</t>
  </si>
  <si>
    <t>L20241001-L5</t>
  </si>
  <si>
    <t>RC-0221</t>
  </si>
  <si>
    <t>C074</t>
  </si>
  <si>
    <t>Cafetería Los Canelos</t>
  </si>
  <si>
    <t>P008868</t>
  </si>
  <si>
    <t>L20241003-L5</t>
  </si>
  <si>
    <t>RC-0222</t>
  </si>
  <si>
    <t>C076</t>
  </si>
  <si>
    <t>Instituto Nativo</t>
  </si>
  <si>
    <t>P008869</t>
  </si>
  <si>
    <t>L20241001-L4</t>
  </si>
  <si>
    <t>RC-0223</t>
  </si>
  <si>
    <t>P008905</t>
  </si>
  <si>
    <t>L20241005-L4</t>
  </si>
  <si>
    <t>RC-0224</t>
  </si>
  <si>
    <t>C042</t>
  </si>
  <si>
    <t>Tienda 24/7 Estación</t>
  </si>
  <si>
    <t>P009039</t>
  </si>
  <si>
    <t>L20241018-L4</t>
  </si>
  <si>
    <t>RC-0225</t>
  </si>
  <si>
    <t>P009060</t>
  </si>
  <si>
    <t>PT-504</t>
  </si>
  <si>
    <t>Chía Pudding Coco 150 g</t>
  </si>
  <si>
    <t>L20241021-L5</t>
  </si>
  <si>
    <t>RC-0226</t>
  </si>
  <si>
    <t>P009071</t>
  </si>
  <si>
    <t>L20241019-L2</t>
  </si>
  <si>
    <t>RC-0227</t>
  </si>
  <si>
    <t>P009077</t>
  </si>
  <si>
    <t>L20241019-L3</t>
  </si>
  <si>
    <t>RC-0228</t>
  </si>
  <si>
    <t>P009078</t>
  </si>
  <si>
    <t>L20241021-L4</t>
  </si>
  <si>
    <t>RC-0229</t>
  </si>
  <si>
    <t>P009219</t>
  </si>
  <si>
    <t>L20241030-L3</t>
  </si>
  <si>
    <t>RC-0230</t>
  </si>
  <si>
    <t>P009229</t>
  </si>
  <si>
    <t>L20241104-L4</t>
  </si>
  <si>
    <t>RC-0231</t>
  </si>
  <si>
    <t>P009295</t>
  </si>
  <si>
    <t>L20241106-L4</t>
  </si>
  <si>
    <t>RC-0232</t>
  </si>
  <si>
    <t>P009452</t>
  </si>
  <si>
    <t>L20241119-L1</t>
  </si>
  <si>
    <t>RC-0233</t>
  </si>
  <si>
    <t>P009460</t>
  </si>
  <si>
    <t>L20241121-L4</t>
  </si>
  <si>
    <t>RC-0234</t>
  </si>
  <si>
    <t>P009467</t>
  </si>
  <si>
    <t>L20241120-L4</t>
  </si>
  <si>
    <t>RC-0235</t>
  </si>
  <si>
    <t>P009500</t>
  </si>
  <si>
    <t>L20241123-L2</t>
  </si>
  <si>
    <t>RC-0236</t>
  </si>
  <si>
    <t>P009522</t>
  </si>
  <si>
    <t>L20241123-L5</t>
  </si>
  <si>
    <t>RC-0237</t>
  </si>
  <si>
    <t>P009568</t>
  </si>
  <si>
    <t>L20241126-L1</t>
  </si>
  <si>
    <t>RC-0238</t>
  </si>
  <si>
    <t>C052</t>
  </si>
  <si>
    <t>Cafetería Aurora</t>
  </si>
  <si>
    <t>P009592</t>
  </si>
  <si>
    <t>L20241129-L3</t>
  </si>
  <si>
    <t>RC-0239</t>
  </si>
  <si>
    <t>P009629</t>
  </si>
  <si>
    <t>L20241204-L1</t>
  </si>
  <si>
    <t>RC-0240</t>
  </si>
  <si>
    <t>P009652</t>
  </si>
  <si>
    <t>L20241203-L3</t>
  </si>
  <si>
    <t>RC-0241</t>
  </si>
  <si>
    <t>P009681</t>
  </si>
  <si>
    <t>L20241206-L3</t>
  </si>
  <si>
    <t>RC-0242</t>
  </si>
  <si>
    <t>P009700</t>
  </si>
  <si>
    <t>L20241205-L1</t>
  </si>
  <si>
    <t>RC-0243</t>
  </si>
  <si>
    <t>P009707</t>
  </si>
  <si>
    <t>L20241207-L5</t>
  </si>
  <si>
    <t>RC-0244</t>
  </si>
  <si>
    <t>P009755</t>
  </si>
  <si>
    <t>L20241214-L3</t>
  </si>
  <si>
    <t>RC-0245</t>
  </si>
  <si>
    <t>P009935</t>
  </si>
  <si>
    <t>L20241227-L4</t>
  </si>
  <si>
    <t>FORMULARIO ESTANDARIZADO DE INGRESO DE RECLAMOS</t>
  </si>
  <si>
    <t>Complete las celdas amarillas. Las listas desplegables y validaciones evitan errores de digitación.</t>
  </si>
  <si>
    <t>Fecha del reclamo *</t>
  </si>
  <si>
    <t>Fecha entre 01-01-2023 y 31-12-2025</t>
  </si>
  <si>
    <t>Cliente *</t>
  </si>
  <si>
    <t>Seleccione de la lista</t>
  </si>
  <si>
    <t>Producto *</t>
  </si>
  <si>
    <t>Lote *</t>
  </si>
  <si>
    <t>Formato L-AAAAMMDD-Lx</t>
  </si>
  <si>
    <t>Tipo de reclamo *</t>
  </si>
  <si>
    <t>Gravedad *</t>
  </si>
  <si>
    <t>Canal de ingreso *</t>
  </si>
  <si>
    <t>Unidades afectadas *</t>
  </si>
  <si>
    <t>Número entero mayor a 0</t>
  </si>
  <si>
    <t>Área responsable *</t>
  </si>
  <si>
    <t>Texto libre</t>
  </si>
  <si>
    <t>Estado del formulario</t>
  </si>
  <si>
    <t>FechaCorte</t>
  </si>
  <si>
    <t>Comercial</t>
  </si>
  <si>
    <t>Supermercado Las Palmas</t>
  </si>
  <si>
    <t>Jugo Verde Detox 300 ml</t>
  </si>
  <si>
    <t>Wrap Vegano</t>
  </si>
  <si>
    <t>Almacén Del Valle</t>
  </si>
  <si>
    <t>Tienda 24/7 El Paso</t>
  </si>
  <si>
    <t>Sushi &amp; Bowl Puerto Viejo</t>
  </si>
  <si>
    <t>Casino Vista Río</t>
  </si>
  <si>
    <t>Restaurant Plaza</t>
  </si>
  <si>
    <t>Sushi &amp; Bowl Brisa Sur</t>
  </si>
  <si>
    <t>Café Bahía</t>
  </si>
  <si>
    <t>Casino Corporativo Nativo</t>
  </si>
  <si>
    <t>Instituto Pacífico</t>
  </si>
  <si>
    <t>Colegio Montaña</t>
  </si>
  <si>
    <t>Gimnasio Horizonte</t>
  </si>
  <si>
    <t>Instituto Del Sur</t>
  </si>
  <si>
    <t>Centro Médico San Andrés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</si>
</sst>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rgb="FF0000FF"/>
      <name val="Arial"/>
    </font>
    <font>
      <b/>
      <sz val="14"/>
      <color rgb="FF1F4E78"/>
      <name val="Arial"/>
    </font>
    <font>
      <i/>
      <sz val="9"/>
      <name val="Arial"/>
    </font>
    <font>
      <b/>
      <sz val="10"/>
      <name val="Arial"/>
    </font>
    <font>
      <sz val="9"/>
      <color rgb="FF7F7F7F"/>
      <name val="Arial"/>
    </font>
    <font>
      <b/>
      <sz val="10"/>
      <color rgb="FFC00000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3" fontId="2" fillId="0" borderId="0" xfId="0" applyNumberFormat="1" applyFont="1" applyAlignment="1">
      <alignment vertical="top" wrapText="1"/>
    </xf>
    <xf numFmtId="0" fontId="1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2" fillId="3" borderId="1" xfId="0" applyNumberFormat="1" applyFont="1" applyFill="1" applyBorder="1"/>
    <xf numFmtId="0" fontId="7" fillId="0" borderId="0" xfId="0" applyFont="1"/>
    <xf numFmtId="0" fontId="2" fillId="3" borderId="1" xfId="0" applyFont="1" applyFill="1" applyBorder="1"/>
    <xf numFmtId="0" fontId="8" fillId="0" borderId="0" xfId="0" applyFont="1"/>
    <xf numFmtId="165" fontId="3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clamos" displayName="tReclamos" ref="A1:U246">
  <autoFilter ref="A1:U246" xr:uid="{00000000-0009-0000-0100-000001000000}"/>
  <tableColumns count="21">
    <tableColumn id="1" xr3:uid="{00000000-0010-0000-0000-000001000000}" name="ReclamoID"/>
    <tableColumn id="2" xr3:uid="{00000000-0010-0000-0000-000002000000}" name="FechaReclamo"/>
    <tableColumn id="3" xr3:uid="{00000000-0010-0000-0000-000003000000}" name="ClienteID"/>
    <tableColumn id="4" xr3:uid="{00000000-0010-0000-0000-000004000000}" name="Cliente"/>
    <tableColumn id="5" xr3:uid="{00000000-0010-0000-0000-000005000000}" name="Canal"/>
    <tableColumn id="6" xr3:uid="{00000000-0010-0000-0000-000006000000}" name="PedidoID"/>
    <tableColumn id="7" xr3:uid="{00000000-0010-0000-0000-000007000000}" name="SKU"/>
    <tableColumn id="8" xr3:uid="{00000000-0010-0000-0000-000008000000}" name="Producto"/>
    <tableColumn id="9" xr3:uid="{00000000-0010-0000-0000-000009000000}" name="Lote"/>
    <tableColumn id="10" xr3:uid="{00000000-0010-0000-0000-00000A000000}" name="TipoReclamo"/>
    <tableColumn id="11" xr3:uid="{00000000-0010-0000-0000-00000B000000}" name="Gravedad"/>
    <tableColumn id="12" xr3:uid="{00000000-0010-0000-0000-00000C000000}" name="CanalIngreso"/>
    <tableColumn id="13" xr3:uid="{00000000-0010-0000-0000-00000D000000}" name="OrigenRegistro"/>
    <tableColumn id="14" xr3:uid="{00000000-0010-0000-0000-00000E000000}" name="RegistroCompleto"/>
    <tableColumn id="15" xr3:uid="{00000000-0010-0000-0000-00000F000000}" name="CausaRaiz"/>
    <tableColumn id="16" xr3:uid="{00000000-0010-0000-0000-000010000000}" name="AccionCorrectiva"/>
    <tableColumn id="17" xr3:uid="{00000000-0010-0000-0000-000011000000}" name="AreaResponsable"/>
    <tableColumn id="18" xr3:uid="{00000000-0010-0000-0000-000012000000}" name="FechaAccion"/>
    <tableColumn id="19" xr3:uid="{00000000-0010-0000-0000-000013000000}" name="FechaCierre"/>
    <tableColumn id="20" xr3:uid="{00000000-0010-0000-0000-000014000000}" name="Estado"/>
    <tableColumn id="21" xr3:uid="{00000000-0010-0000-0000-000015000000}" name="DiasResolu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19" t="s">
        <v>2</v>
      </c>
      <c r="B3" s="20"/>
      <c r="C3" s="20"/>
      <c r="D3" s="20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26.4" x14ac:dyDescent="0.3">
      <c r="A6" s="3" t="s">
        <v>7</v>
      </c>
      <c r="B6" s="5">
        <v>245</v>
      </c>
      <c r="C6" s="3" t="s">
        <v>8</v>
      </c>
      <c r="D6" s="3" t="s">
        <v>9</v>
      </c>
    </row>
    <row r="7" spans="1:4" x14ac:dyDescent="0.3">
      <c r="A7" s="3" t="s">
        <v>10</v>
      </c>
      <c r="B7" s="5">
        <v>10</v>
      </c>
      <c r="C7" s="3" t="s">
        <v>11</v>
      </c>
      <c r="D7" s="3" t="s">
        <v>12</v>
      </c>
    </row>
    <row r="8" spans="1:4" x14ac:dyDescent="0.3">
      <c r="A8" s="3" t="s">
        <v>13</v>
      </c>
      <c r="B8" s="5">
        <v>0</v>
      </c>
      <c r="C8" s="3" t="s">
        <v>14</v>
      </c>
      <c r="D8" s="3" t="s">
        <v>15</v>
      </c>
    </row>
    <row r="10" spans="1:4" ht="15.6" x14ac:dyDescent="0.3">
      <c r="A10" s="6" t="s">
        <v>16</v>
      </c>
    </row>
    <row r="11" spans="1:4" x14ac:dyDescent="0.3">
      <c r="A11" s="4" t="s">
        <v>3</v>
      </c>
      <c r="B11" s="4" t="s">
        <v>17</v>
      </c>
      <c r="C11" s="4" t="s">
        <v>5</v>
      </c>
      <c r="D11" s="4" t="s">
        <v>18</v>
      </c>
    </row>
    <row r="12" spans="1:4" x14ac:dyDescent="0.3">
      <c r="A12" s="3" t="s">
        <v>7</v>
      </c>
      <c r="B12" s="3" t="s">
        <v>19</v>
      </c>
      <c r="C12" s="3" t="s">
        <v>20</v>
      </c>
      <c r="D12" s="3" t="s">
        <v>21</v>
      </c>
    </row>
    <row r="13" spans="1:4" x14ac:dyDescent="0.3">
      <c r="A13" s="3" t="s">
        <v>7</v>
      </c>
      <c r="B13" s="3" t="s">
        <v>22</v>
      </c>
      <c r="C13" s="3"/>
      <c r="D13" s="3" t="s">
        <v>23</v>
      </c>
    </row>
    <row r="14" spans="1:4" x14ac:dyDescent="0.3">
      <c r="A14" s="3" t="s">
        <v>7</v>
      </c>
      <c r="B14" s="3" t="s">
        <v>24</v>
      </c>
      <c r="C14" s="3"/>
      <c r="D14" s="3" t="s">
        <v>21</v>
      </c>
    </row>
    <row r="15" spans="1:4" x14ac:dyDescent="0.3">
      <c r="A15" s="3" t="s">
        <v>7</v>
      </c>
      <c r="B15" s="3" t="s">
        <v>25</v>
      </c>
      <c r="C15" s="3"/>
      <c r="D15" s="3" t="s">
        <v>21</v>
      </c>
    </row>
    <row r="16" spans="1:4" x14ac:dyDescent="0.3">
      <c r="A16" s="3" t="s">
        <v>7</v>
      </c>
      <c r="B16" s="3" t="s">
        <v>26</v>
      </c>
      <c r="C16" s="3"/>
      <c r="D16" s="3" t="s">
        <v>21</v>
      </c>
    </row>
    <row r="17" spans="1:4" x14ac:dyDescent="0.3">
      <c r="A17" s="3" t="s">
        <v>7</v>
      </c>
      <c r="B17" s="3" t="s">
        <v>27</v>
      </c>
      <c r="C17" s="3" t="s">
        <v>28</v>
      </c>
      <c r="D17" s="3" t="s">
        <v>21</v>
      </c>
    </row>
    <row r="18" spans="1:4" x14ac:dyDescent="0.3">
      <c r="A18" s="3" t="s">
        <v>7</v>
      </c>
      <c r="B18" s="3" t="s">
        <v>29</v>
      </c>
      <c r="C18" s="3"/>
      <c r="D18" s="3" t="s">
        <v>21</v>
      </c>
    </row>
    <row r="19" spans="1:4" x14ac:dyDescent="0.3">
      <c r="A19" s="3" t="s">
        <v>7</v>
      </c>
      <c r="B19" s="3" t="s">
        <v>30</v>
      </c>
      <c r="C19" s="3"/>
      <c r="D19" s="3" t="s">
        <v>21</v>
      </c>
    </row>
    <row r="20" spans="1:4" x14ac:dyDescent="0.3">
      <c r="A20" s="3" t="s">
        <v>7</v>
      </c>
      <c r="B20" s="3" t="s">
        <v>31</v>
      </c>
      <c r="C20" s="3" t="s">
        <v>32</v>
      </c>
      <c r="D20" s="3" t="s">
        <v>21</v>
      </c>
    </row>
    <row r="21" spans="1:4" x14ac:dyDescent="0.3">
      <c r="A21" s="3" t="s">
        <v>7</v>
      </c>
      <c r="B21" s="3" t="s">
        <v>33</v>
      </c>
      <c r="C21" s="3"/>
      <c r="D21" s="3" t="s">
        <v>21</v>
      </c>
    </row>
    <row r="22" spans="1:4" x14ac:dyDescent="0.3">
      <c r="A22" s="3" t="s">
        <v>7</v>
      </c>
      <c r="B22" s="3" t="s">
        <v>34</v>
      </c>
      <c r="C22" s="3"/>
      <c r="D22" s="3" t="s">
        <v>21</v>
      </c>
    </row>
    <row r="23" spans="1:4" x14ac:dyDescent="0.3">
      <c r="A23" s="3" t="s">
        <v>7</v>
      </c>
      <c r="B23" s="3" t="s">
        <v>35</v>
      </c>
      <c r="C23" s="3" t="s">
        <v>36</v>
      </c>
      <c r="D23" s="3" t="s">
        <v>21</v>
      </c>
    </row>
    <row r="24" spans="1:4" x14ac:dyDescent="0.3">
      <c r="A24" s="3" t="s">
        <v>7</v>
      </c>
      <c r="B24" s="3" t="s">
        <v>37</v>
      </c>
      <c r="C24" s="3" t="s">
        <v>38</v>
      </c>
      <c r="D24" s="3" t="s">
        <v>21</v>
      </c>
    </row>
    <row r="25" spans="1:4" x14ac:dyDescent="0.3">
      <c r="A25" s="3" t="s">
        <v>7</v>
      </c>
      <c r="B25" s="3" t="s">
        <v>39</v>
      </c>
      <c r="C25" s="3" t="s">
        <v>40</v>
      </c>
      <c r="D25" s="3" t="s">
        <v>21</v>
      </c>
    </row>
    <row r="26" spans="1:4" x14ac:dyDescent="0.3">
      <c r="A26" s="3" t="s">
        <v>7</v>
      </c>
      <c r="B26" s="3" t="s">
        <v>41</v>
      </c>
      <c r="C26" s="3"/>
      <c r="D26" s="3" t="s">
        <v>21</v>
      </c>
    </row>
    <row r="27" spans="1:4" x14ac:dyDescent="0.3">
      <c r="A27" s="3" t="s">
        <v>7</v>
      </c>
      <c r="B27" s="3" t="s">
        <v>42</v>
      </c>
      <c r="C27" s="3"/>
      <c r="D27" s="3" t="s">
        <v>21</v>
      </c>
    </row>
    <row r="28" spans="1:4" x14ac:dyDescent="0.3">
      <c r="A28" s="3" t="s">
        <v>7</v>
      </c>
      <c r="B28" s="3" t="s">
        <v>43</v>
      </c>
      <c r="C28" s="3"/>
      <c r="D28" s="3" t="s">
        <v>21</v>
      </c>
    </row>
    <row r="29" spans="1:4" x14ac:dyDescent="0.3">
      <c r="A29" s="3" t="s">
        <v>7</v>
      </c>
      <c r="B29" s="3" t="s">
        <v>44</v>
      </c>
      <c r="C29" s="3" t="s">
        <v>45</v>
      </c>
      <c r="D29" s="3" t="s">
        <v>23</v>
      </c>
    </row>
    <row r="30" spans="1:4" x14ac:dyDescent="0.3">
      <c r="A30" s="3" t="s">
        <v>7</v>
      </c>
      <c r="B30" s="3" t="s">
        <v>46</v>
      </c>
      <c r="C30" s="3" t="s">
        <v>47</v>
      </c>
      <c r="D30" s="3" t="s">
        <v>23</v>
      </c>
    </row>
    <row r="31" spans="1:4" x14ac:dyDescent="0.3">
      <c r="A31" s="3" t="s">
        <v>7</v>
      </c>
      <c r="B31" s="3" t="s">
        <v>48</v>
      </c>
      <c r="C31" s="3" t="s">
        <v>49</v>
      </c>
      <c r="D31" s="3" t="s">
        <v>21</v>
      </c>
    </row>
    <row r="32" spans="1:4" x14ac:dyDescent="0.3">
      <c r="A32" s="3" t="s">
        <v>7</v>
      </c>
      <c r="B32" s="3" t="s">
        <v>50</v>
      </c>
      <c r="C32" s="3" t="s">
        <v>51</v>
      </c>
      <c r="D32" s="3" t="s">
        <v>52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9" customWidth="1"/>
    <col min="4" max="4" width="28" customWidth="1"/>
    <col min="5" max="5" width="20" customWidth="1"/>
    <col min="6" max="6" width="10" customWidth="1"/>
    <col min="7" max="7" width="8" customWidth="1"/>
    <col min="8" max="8" width="28" customWidth="1"/>
    <col min="9" max="9" width="15" customWidth="1"/>
    <col min="10" max="10" width="24" customWidth="1"/>
    <col min="11" max="11" width="9" customWidth="1"/>
    <col min="12" max="12" width="18" customWidth="1"/>
    <col min="13" max="13" width="22" customWidth="1"/>
    <col min="14" max="14" width="10" customWidth="1"/>
    <col min="15" max="15" width="32" customWidth="1"/>
    <col min="16" max="16" width="44" customWidth="1"/>
    <col min="17" max="17" width="18" customWidth="1"/>
    <col min="18" max="19" width="12" customWidth="1"/>
    <col min="20" max="20" width="11" customWidth="1"/>
    <col min="21" max="21" width="10" customWidth="1"/>
  </cols>
  <sheetData>
    <row r="1" spans="1:21" ht="30" customHeight="1" x14ac:dyDescent="0.3">
      <c r="A1" s="7" t="s">
        <v>19</v>
      </c>
      <c r="B1" s="7" t="s">
        <v>22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29</v>
      </c>
      <c r="H1" s="7" t="s">
        <v>30</v>
      </c>
      <c r="I1" s="7" t="s">
        <v>31</v>
      </c>
      <c r="J1" s="7" t="s">
        <v>33</v>
      </c>
      <c r="K1" s="7" t="s">
        <v>34</v>
      </c>
      <c r="L1" s="7" t="s">
        <v>35</v>
      </c>
      <c r="M1" s="7" t="s">
        <v>37</v>
      </c>
      <c r="N1" s="7" t="s">
        <v>39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46</v>
      </c>
      <c r="T1" s="7" t="s">
        <v>48</v>
      </c>
      <c r="U1" s="7" t="s">
        <v>50</v>
      </c>
    </row>
    <row r="2" spans="1:21" x14ac:dyDescent="0.3">
      <c r="A2" s="8" t="s">
        <v>53</v>
      </c>
      <c r="B2" s="9">
        <v>44938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  <c r="J2" s="8" t="s">
        <v>61</v>
      </c>
      <c r="K2" s="8" t="s">
        <v>62</v>
      </c>
      <c r="L2" s="8" t="s">
        <v>63</v>
      </c>
      <c r="M2" s="8" t="s">
        <v>64</v>
      </c>
      <c r="N2" s="8" t="s">
        <v>65</v>
      </c>
      <c r="O2" s="8" t="s">
        <v>66</v>
      </c>
      <c r="P2" s="8" t="s">
        <v>67</v>
      </c>
      <c r="Q2" s="8" t="s">
        <v>68</v>
      </c>
      <c r="R2" s="9">
        <v>44939</v>
      </c>
      <c r="S2" s="9">
        <v>44941</v>
      </c>
      <c r="T2" s="8" t="str">
        <f t="shared" ref="T2:T65" si="0">IF(S2="","En proceso","Cerrado")</f>
        <v>Cerrado</v>
      </c>
      <c r="U2" s="10">
        <f>IF(S2="",Listas!$I$1-B2,S2-B2)</f>
        <v>3</v>
      </c>
    </row>
    <row r="3" spans="1:21" x14ac:dyDescent="0.3">
      <c r="A3" s="8" t="s">
        <v>69</v>
      </c>
      <c r="B3" s="9">
        <v>44939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8" t="s">
        <v>76</v>
      </c>
      <c r="J3" s="8" t="s">
        <v>77</v>
      </c>
      <c r="K3" s="8" t="s">
        <v>62</v>
      </c>
      <c r="L3" s="8" t="s">
        <v>78</v>
      </c>
      <c r="M3" s="8" t="s">
        <v>64</v>
      </c>
      <c r="N3" s="8" t="s">
        <v>65</v>
      </c>
      <c r="O3" s="8" t="s">
        <v>79</v>
      </c>
      <c r="P3" s="8" t="s">
        <v>80</v>
      </c>
      <c r="Q3" s="8" t="s">
        <v>81</v>
      </c>
      <c r="R3" s="9">
        <v>44943</v>
      </c>
      <c r="S3" s="9">
        <v>44951</v>
      </c>
      <c r="T3" s="8" t="str">
        <f t="shared" si="0"/>
        <v>Cerrado</v>
      </c>
      <c r="U3" s="10">
        <f>IF(S3="",Listas!$I$1-B3,S3-B3)</f>
        <v>12</v>
      </c>
    </row>
    <row r="4" spans="1:21" x14ac:dyDescent="0.3">
      <c r="A4" s="8" t="s">
        <v>82</v>
      </c>
      <c r="B4" s="9">
        <v>44941</v>
      </c>
      <c r="C4" s="8" t="s">
        <v>83</v>
      </c>
      <c r="D4" s="8" t="s">
        <v>84</v>
      </c>
      <c r="E4" s="8" t="s">
        <v>72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78</v>
      </c>
      <c r="M4" s="8" t="s">
        <v>64</v>
      </c>
      <c r="N4" s="8" t="s">
        <v>65</v>
      </c>
      <c r="O4" s="8" t="s">
        <v>91</v>
      </c>
      <c r="P4" s="8" t="s">
        <v>92</v>
      </c>
      <c r="Q4" s="8" t="s">
        <v>81</v>
      </c>
      <c r="R4" s="9">
        <v>44942</v>
      </c>
      <c r="S4" s="9">
        <v>44952</v>
      </c>
      <c r="T4" s="8" t="str">
        <f t="shared" si="0"/>
        <v>Cerrado</v>
      </c>
      <c r="U4" s="10">
        <f>IF(S4="",Listas!$I$1-B4,S4-B4)</f>
        <v>11</v>
      </c>
    </row>
    <row r="5" spans="1:21" x14ac:dyDescent="0.3">
      <c r="A5" s="8" t="s">
        <v>93</v>
      </c>
      <c r="B5" s="9">
        <v>44942</v>
      </c>
      <c r="C5" s="8" t="s">
        <v>94</v>
      </c>
      <c r="D5" s="8" t="s">
        <v>95</v>
      </c>
      <c r="E5" s="8" t="s">
        <v>96</v>
      </c>
      <c r="F5" s="8" t="s">
        <v>97</v>
      </c>
      <c r="G5" s="8" t="s">
        <v>98</v>
      </c>
      <c r="H5" s="8" t="s">
        <v>99</v>
      </c>
      <c r="I5" s="8" t="s">
        <v>100</v>
      </c>
      <c r="J5" s="8" t="s">
        <v>101</v>
      </c>
      <c r="K5" s="8" t="s">
        <v>90</v>
      </c>
      <c r="L5" s="8" t="s">
        <v>102</v>
      </c>
      <c r="M5" s="8" t="s">
        <v>64</v>
      </c>
      <c r="N5" s="8" t="s">
        <v>65</v>
      </c>
      <c r="O5" s="8" t="s">
        <v>103</v>
      </c>
      <c r="P5" s="8" t="s">
        <v>104</v>
      </c>
      <c r="Q5" s="8" t="s">
        <v>68</v>
      </c>
      <c r="R5" s="9">
        <v>44942</v>
      </c>
      <c r="S5" s="9">
        <v>44951</v>
      </c>
      <c r="T5" s="8" t="str">
        <f t="shared" si="0"/>
        <v>Cerrado</v>
      </c>
      <c r="U5" s="10">
        <f>IF(S5="",Listas!$I$1-B5,S5-B5)</f>
        <v>9</v>
      </c>
    </row>
    <row r="6" spans="1:21" x14ac:dyDescent="0.3">
      <c r="A6" s="8" t="s">
        <v>105</v>
      </c>
      <c r="B6" s="9">
        <v>44949</v>
      </c>
      <c r="C6" s="8" t="s">
        <v>106</v>
      </c>
      <c r="D6" s="8" t="s">
        <v>107</v>
      </c>
      <c r="E6" s="8" t="s">
        <v>96</v>
      </c>
      <c r="F6" s="8" t="s">
        <v>108</v>
      </c>
      <c r="G6" s="8" t="s">
        <v>109</v>
      </c>
      <c r="H6" s="8" t="s">
        <v>110</v>
      </c>
      <c r="I6" s="8" t="s">
        <v>111</v>
      </c>
      <c r="J6" s="8" t="s">
        <v>61</v>
      </c>
      <c r="K6" s="8" t="s">
        <v>112</v>
      </c>
      <c r="L6" s="8" t="s">
        <v>63</v>
      </c>
      <c r="M6" s="8" t="s">
        <v>64</v>
      </c>
      <c r="N6" s="8" t="s">
        <v>65</v>
      </c>
      <c r="O6" s="8" t="s">
        <v>66</v>
      </c>
      <c r="P6" s="8" t="s">
        <v>67</v>
      </c>
      <c r="Q6" s="8" t="s">
        <v>68</v>
      </c>
      <c r="R6" s="9">
        <v>44951</v>
      </c>
      <c r="S6" s="9">
        <v>44963</v>
      </c>
      <c r="T6" s="8" t="str">
        <f t="shared" si="0"/>
        <v>Cerrado</v>
      </c>
      <c r="U6" s="10">
        <f>IF(S6="",Listas!$I$1-B6,S6-B6)</f>
        <v>14</v>
      </c>
    </row>
    <row r="7" spans="1:21" x14ac:dyDescent="0.3">
      <c r="A7" s="8" t="s">
        <v>113</v>
      </c>
      <c r="B7" s="9">
        <v>44945</v>
      </c>
      <c r="C7" s="8" t="s">
        <v>114</v>
      </c>
      <c r="D7" s="8" t="s">
        <v>115</v>
      </c>
      <c r="E7" s="8" t="s">
        <v>116</v>
      </c>
      <c r="F7" s="8" t="s">
        <v>117</v>
      </c>
      <c r="G7" s="8" t="s">
        <v>118</v>
      </c>
      <c r="H7" s="8" t="s">
        <v>119</v>
      </c>
      <c r="I7" s="8" t="s">
        <v>120</v>
      </c>
      <c r="J7" s="8" t="s">
        <v>61</v>
      </c>
      <c r="K7" s="8" t="s">
        <v>62</v>
      </c>
      <c r="L7" s="8" t="s">
        <v>121</v>
      </c>
      <c r="M7" s="8" t="s">
        <v>64</v>
      </c>
      <c r="N7" s="8" t="s">
        <v>65</v>
      </c>
      <c r="O7" s="8" t="s">
        <v>66</v>
      </c>
      <c r="P7" s="8" t="s">
        <v>67</v>
      </c>
      <c r="Q7" s="8" t="s">
        <v>68</v>
      </c>
      <c r="R7" s="9">
        <v>44947</v>
      </c>
      <c r="S7" s="9">
        <v>44963</v>
      </c>
      <c r="T7" s="8" t="str">
        <f t="shared" si="0"/>
        <v>Cerrado</v>
      </c>
      <c r="U7" s="10">
        <f>IF(S7="",Listas!$I$1-B7,S7-B7)</f>
        <v>18</v>
      </c>
    </row>
    <row r="8" spans="1:21" x14ac:dyDescent="0.3">
      <c r="A8" s="8" t="s">
        <v>122</v>
      </c>
      <c r="B8" s="9">
        <v>44955</v>
      </c>
      <c r="C8" s="8" t="s">
        <v>123</v>
      </c>
      <c r="D8" s="8" t="s">
        <v>124</v>
      </c>
      <c r="E8" s="8" t="s">
        <v>125</v>
      </c>
      <c r="F8" s="8" t="s">
        <v>126</v>
      </c>
      <c r="G8" s="8" t="s">
        <v>127</v>
      </c>
      <c r="H8" s="8" t="s">
        <v>128</v>
      </c>
      <c r="I8" s="8" t="s">
        <v>129</v>
      </c>
      <c r="J8" s="8" t="s">
        <v>61</v>
      </c>
      <c r="K8" s="8" t="s">
        <v>130</v>
      </c>
      <c r="L8" s="8" t="s">
        <v>121</v>
      </c>
      <c r="M8" s="8" t="s">
        <v>64</v>
      </c>
      <c r="N8" s="8" t="s">
        <v>65</v>
      </c>
      <c r="O8" s="8" t="s">
        <v>66</v>
      </c>
      <c r="P8" s="8" t="s">
        <v>67</v>
      </c>
      <c r="Q8" s="8" t="s">
        <v>68</v>
      </c>
      <c r="R8" s="9">
        <v>44955</v>
      </c>
      <c r="S8" s="9">
        <v>44963</v>
      </c>
      <c r="T8" s="8" t="str">
        <f t="shared" si="0"/>
        <v>Cerrado</v>
      </c>
      <c r="U8" s="10">
        <f>IF(S8="",Listas!$I$1-B8,S8-B8)</f>
        <v>8</v>
      </c>
    </row>
    <row r="9" spans="1:21" x14ac:dyDescent="0.3">
      <c r="A9" s="8" t="s">
        <v>131</v>
      </c>
      <c r="B9" s="9">
        <v>44956</v>
      </c>
      <c r="C9" s="8" t="s">
        <v>132</v>
      </c>
      <c r="D9" s="8" t="s">
        <v>133</v>
      </c>
      <c r="E9" s="8" t="s">
        <v>125</v>
      </c>
      <c r="F9" s="8" t="s">
        <v>134</v>
      </c>
      <c r="G9" s="8" t="s">
        <v>74</v>
      </c>
      <c r="H9" s="8" t="s">
        <v>75</v>
      </c>
      <c r="I9" s="8" t="s">
        <v>129</v>
      </c>
      <c r="J9" s="8" t="s">
        <v>61</v>
      </c>
      <c r="K9" s="8" t="s">
        <v>90</v>
      </c>
      <c r="L9" s="8" t="s">
        <v>78</v>
      </c>
      <c r="M9" s="8" t="s">
        <v>64</v>
      </c>
      <c r="N9" s="8" t="s">
        <v>135</v>
      </c>
      <c r="O9" s="8" t="s">
        <v>66</v>
      </c>
      <c r="P9" s="8" t="s">
        <v>67</v>
      </c>
      <c r="Q9" s="8" t="s">
        <v>68</v>
      </c>
      <c r="R9" s="9">
        <v>44958</v>
      </c>
      <c r="S9" s="9">
        <v>44969</v>
      </c>
      <c r="T9" s="8" t="str">
        <f t="shared" si="0"/>
        <v>Cerrado</v>
      </c>
      <c r="U9" s="10">
        <f>IF(S9="",Listas!$I$1-B9,S9-B9)</f>
        <v>13</v>
      </c>
    </row>
    <row r="10" spans="1:21" x14ac:dyDescent="0.3">
      <c r="A10" s="8" t="s">
        <v>136</v>
      </c>
      <c r="B10" s="9">
        <v>44962</v>
      </c>
      <c r="C10" s="8" t="s">
        <v>123</v>
      </c>
      <c r="D10" s="8" t="s">
        <v>124</v>
      </c>
      <c r="E10" s="8" t="s">
        <v>125</v>
      </c>
      <c r="F10" s="8" t="s">
        <v>137</v>
      </c>
      <c r="G10" s="8" t="s">
        <v>118</v>
      </c>
      <c r="H10" s="8" t="s">
        <v>119</v>
      </c>
      <c r="I10" s="8" t="s">
        <v>138</v>
      </c>
      <c r="J10" s="8" t="s">
        <v>139</v>
      </c>
      <c r="K10" s="8" t="s">
        <v>90</v>
      </c>
      <c r="L10" s="8" t="s">
        <v>102</v>
      </c>
      <c r="M10" s="8" t="s">
        <v>64</v>
      </c>
      <c r="N10" s="8" t="s">
        <v>65</v>
      </c>
      <c r="O10" s="8" t="s">
        <v>140</v>
      </c>
      <c r="P10" s="8" t="s">
        <v>141</v>
      </c>
      <c r="Q10" s="8" t="s">
        <v>68</v>
      </c>
      <c r="R10" s="9">
        <v>44965</v>
      </c>
      <c r="S10" s="9">
        <v>44976</v>
      </c>
      <c r="T10" s="8" t="str">
        <f t="shared" si="0"/>
        <v>Cerrado</v>
      </c>
      <c r="U10" s="10">
        <f>IF(S10="",Listas!$I$1-B10,S10-B10)</f>
        <v>14</v>
      </c>
    </row>
    <row r="11" spans="1:21" x14ac:dyDescent="0.3">
      <c r="A11" s="8" t="s">
        <v>142</v>
      </c>
      <c r="B11" s="9">
        <v>44960</v>
      </c>
      <c r="C11" s="8" t="s">
        <v>143</v>
      </c>
      <c r="D11" s="8" t="s">
        <v>144</v>
      </c>
      <c r="E11" s="8" t="s">
        <v>72</v>
      </c>
      <c r="F11" s="8" t="s">
        <v>145</v>
      </c>
      <c r="G11" s="8" t="s">
        <v>58</v>
      </c>
      <c r="H11" s="8" t="s">
        <v>59</v>
      </c>
      <c r="I11" s="8" t="s">
        <v>146</v>
      </c>
      <c r="J11" s="8" t="s">
        <v>147</v>
      </c>
      <c r="K11" s="8" t="s">
        <v>112</v>
      </c>
      <c r="L11" s="8" t="s">
        <v>78</v>
      </c>
      <c r="M11" s="8" t="s">
        <v>64</v>
      </c>
      <c r="N11" s="8" t="s">
        <v>135</v>
      </c>
      <c r="O11" s="8" t="s">
        <v>148</v>
      </c>
      <c r="P11" s="8" t="s">
        <v>149</v>
      </c>
      <c r="Q11" s="8" t="s">
        <v>150</v>
      </c>
      <c r="R11" s="9">
        <v>44962</v>
      </c>
      <c r="S11" s="9">
        <v>44969</v>
      </c>
      <c r="T11" s="8" t="str">
        <f t="shared" si="0"/>
        <v>Cerrado</v>
      </c>
      <c r="U11" s="10">
        <f>IF(S11="",Listas!$I$1-B11,S11-B11)</f>
        <v>9</v>
      </c>
    </row>
    <row r="12" spans="1:21" x14ac:dyDescent="0.3">
      <c r="A12" s="8" t="s">
        <v>151</v>
      </c>
      <c r="B12" s="9">
        <v>44959</v>
      </c>
      <c r="C12" s="8" t="s">
        <v>152</v>
      </c>
      <c r="D12" s="8" t="s">
        <v>153</v>
      </c>
      <c r="E12" s="8" t="s">
        <v>125</v>
      </c>
      <c r="F12" s="8" t="s">
        <v>154</v>
      </c>
      <c r="G12" s="8" t="s">
        <v>127</v>
      </c>
      <c r="H12" s="8" t="s">
        <v>128</v>
      </c>
      <c r="I12" s="8" t="s">
        <v>155</v>
      </c>
      <c r="J12" s="8" t="s">
        <v>139</v>
      </c>
      <c r="K12" s="8" t="s">
        <v>90</v>
      </c>
      <c r="L12" s="8" t="s">
        <v>63</v>
      </c>
      <c r="M12" s="8" t="s">
        <v>64</v>
      </c>
      <c r="N12" s="8" t="s">
        <v>65</v>
      </c>
      <c r="O12" s="8" t="s">
        <v>140</v>
      </c>
      <c r="P12" s="8" t="s">
        <v>141</v>
      </c>
      <c r="Q12" s="8" t="s">
        <v>68</v>
      </c>
      <c r="R12" s="9">
        <v>44960</v>
      </c>
      <c r="S12" s="9">
        <v>44974</v>
      </c>
      <c r="T12" s="8" t="str">
        <f t="shared" si="0"/>
        <v>Cerrado</v>
      </c>
      <c r="U12" s="10">
        <f>IF(S12="",Listas!$I$1-B12,S12-B12)</f>
        <v>15</v>
      </c>
    </row>
    <row r="13" spans="1:21" x14ac:dyDescent="0.3">
      <c r="A13" s="8" t="s">
        <v>156</v>
      </c>
      <c r="B13" s="9">
        <v>44957</v>
      </c>
      <c r="C13" s="8" t="s">
        <v>157</v>
      </c>
      <c r="D13" s="8" t="s">
        <v>158</v>
      </c>
      <c r="E13" s="8" t="s">
        <v>116</v>
      </c>
      <c r="F13" s="8" t="s">
        <v>159</v>
      </c>
      <c r="G13" s="8" t="s">
        <v>160</v>
      </c>
      <c r="H13" s="8" t="s">
        <v>161</v>
      </c>
      <c r="I13" s="8" t="s">
        <v>162</v>
      </c>
      <c r="J13" s="8" t="s">
        <v>147</v>
      </c>
      <c r="K13" s="8" t="s">
        <v>62</v>
      </c>
      <c r="L13" s="8" t="s">
        <v>102</v>
      </c>
      <c r="M13" s="8" t="s">
        <v>64</v>
      </c>
      <c r="N13" s="8" t="s">
        <v>65</v>
      </c>
      <c r="O13" s="8" t="s">
        <v>148</v>
      </c>
      <c r="P13" s="8" t="s">
        <v>149</v>
      </c>
      <c r="Q13" s="8" t="s">
        <v>150</v>
      </c>
      <c r="R13" s="9">
        <v>44958</v>
      </c>
      <c r="S13" s="9">
        <v>44969</v>
      </c>
      <c r="T13" s="8" t="str">
        <f t="shared" si="0"/>
        <v>Cerrado</v>
      </c>
      <c r="U13" s="10">
        <f>IF(S13="",Listas!$I$1-B13,S13-B13)</f>
        <v>12</v>
      </c>
    </row>
    <row r="14" spans="1:21" x14ac:dyDescent="0.3">
      <c r="A14" s="8" t="s">
        <v>163</v>
      </c>
      <c r="B14" s="9">
        <v>44963</v>
      </c>
      <c r="C14" s="8" t="s">
        <v>164</v>
      </c>
      <c r="D14" s="8" t="s">
        <v>165</v>
      </c>
      <c r="E14" s="8" t="s">
        <v>116</v>
      </c>
      <c r="F14" s="8" t="s">
        <v>166</v>
      </c>
      <c r="G14" s="8" t="s">
        <v>167</v>
      </c>
      <c r="H14" s="8" t="s">
        <v>168</v>
      </c>
      <c r="I14" s="8" t="s">
        <v>169</v>
      </c>
      <c r="J14" s="8" t="s">
        <v>101</v>
      </c>
      <c r="K14" s="8" t="s">
        <v>62</v>
      </c>
      <c r="L14" s="8" t="s">
        <v>102</v>
      </c>
      <c r="M14" s="8" t="s">
        <v>64</v>
      </c>
      <c r="N14" s="8" t="s">
        <v>65</v>
      </c>
      <c r="O14" s="8" t="s">
        <v>103</v>
      </c>
      <c r="P14" s="8" t="s">
        <v>104</v>
      </c>
      <c r="Q14" s="8" t="s">
        <v>68</v>
      </c>
      <c r="R14" s="9">
        <v>44963</v>
      </c>
      <c r="S14" s="9">
        <v>44970</v>
      </c>
      <c r="T14" s="8" t="str">
        <f t="shared" si="0"/>
        <v>Cerrado</v>
      </c>
      <c r="U14" s="10">
        <f>IF(S14="",Listas!$I$1-B14,S14-B14)</f>
        <v>7</v>
      </c>
    </row>
    <row r="15" spans="1:21" x14ac:dyDescent="0.3">
      <c r="A15" s="8" t="s">
        <v>170</v>
      </c>
      <c r="B15" s="9">
        <v>44974</v>
      </c>
      <c r="C15" s="8" t="s">
        <v>152</v>
      </c>
      <c r="D15" s="8" t="s">
        <v>153</v>
      </c>
      <c r="E15" s="8" t="s">
        <v>125</v>
      </c>
      <c r="F15" s="8" t="s">
        <v>171</v>
      </c>
      <c r="G15" s="8" t="s">
        <v>127</v>
      </c>
      <c r="H15" s="8" t="s">
        <v>128</v>
      </c>
      <c r="I15" s="8" t="s">
        <v>172</v>
      </c>
      <c r="J15" s="8" t="s">
        <v>61</v>
      </c>
      <c r="K15" s="8" t="s">
        <v>62</v>
      </c>
      <c r="L15" s="8" t="s">
        <v>102</v>
      </c>
      <c r="M15" s="8" t="s">
        <v>64</v>
      </c>
      <c r="N15" s="8" t="s">
        <v>135</v>
      </c>
      <c r="O15" s="8" t="s">
        <v>66</v>
      </c>
      <c r="P15" s="8" t="s">
        <v>67</v>
      </c>
      <c r="Q15" s="8" t="s">
        <v>68</v>
      </c>
      <c r="R15" s="9">
        <v>44975</v>
      </c>
      <c r="S15" s="9">
        <v>44976</v>
      </c>
      <c r="T15" s="8" t="str">
        <f t="shared" si="0"/>
        <v>Cerrado</v>
      </c>
      <c r="U15" s="10">
        <f>IF(S15="",Listas!$I$1-B15,S15-B15)</f>
        <v>2</v>
      </c>
    </row>
    <row r="16" spans="1:21" x14ac:dyDescent="0.3">
      <c r="A16" s="8" t="s">
        <v>173</v>
      </c>
      <c r="B16" s="9">
        <v>44974</v>
      </c>
      <c r="C16" s="8" t="s">
        <v>70</v>
      </c>
      <c r="D16" s="8" t="s">
        <v>71</v>
      </c>
      <c r="E16" s="8" t="s">
        <v>72</v>
      </c>
      <c r="F16" s="8" t="s">
        <v>174</v>
      </c>
      <c r="G16" s="8" t="s">
        <v>175</v>
      </c>
      <c r="H16" s="8" t="s">
        <v>176</v>
      </c>
      <c r="I16" s="8" t="s">
        <v>177</v>
      </c>
      <c r="J16" s="8" t="s">
        <v>178</v>
      </c>
      <c r="K16" s="8" t="s">
        <v>62</v>
      </c>
      <c r="L16" s="8" t="s">
        <v>63</v>
      </c>
      <c r="M16" s="8" t="s">
        <v>64</v>
      </c>
      <c r="N16" s="8" t="s">
        <v>65</v>
      </c>
      <c r="O16" s="8" t="s">
        <v>179</v>
      </c>
      <c r="P16" s="8" t="s">
        <v>180</v>
      </c>
      <c r="Q16" s="8" t="s">
        <v>150</v>
      </c>
      <c r="R16" s="9">
        <v>44977</v>
      </c>
      <c r="S16" s="9">
        <v>44988</v>
      </c>
      <c r="T16" s="8" t="str">
        <f t="shared" si="0"/>
        <v>Cerrado</v>
      </c>
      <c r="U16" s="10">
        <f>IF(S16="",Listas!$I$1-B16,S16-B16)</f>
        <v>14</v>
      </c>
    </row>
    <row r="17" spans="1:21" x14ac:dyDescent="0.3">
      <c r="A17" s="8" t="s">
        <v>181</v>
      </c>
      <c r="B17" s="9">
        <v>44973</v>
      </c>
      <c r="C17" s="8" t="s">
        <v>182</v>
      </c>
      <c r="D17" s="8" t="s">
        <v>183</v>
      </c>
      <c r="E17" s="8" t="s">
        <v>72</v>
      </c>
      <c r="F17" s="8" t="s">
        <v>184</v>
      </c>
      <c r="G17" s="8" t="s">
        <v>185</v>
      </c>
      <c r="H17" s="8" t="s">
        <v>186</v>
      </c>
      <c r="I17" s="8" t="s">
        <v>187</v>
      </c>
      <c r="J17" s="8" t="s">
        <v>147</v>
      </c>
      <c r="K17" s="8" t="s">
        <v>62</v>
      </c>
      <c r="L17" s="8" t="s">
        <v>121</v>
      </c>
      <c r="M17" s="8" t="s">
        <v>64</v>
      </c>
      <c r="N17" s="8" t="s">
        <v>65</v>
      </c>
      <c r="O17" s="8" t="s">
        <v>148</v>
      </c>
      <c r="P17" s="8" t="s">
        <v>149</v>
      </c>
      <c r="Q17" s="8" t="s">
        <v>150</v>
      </c>
      <c r="R17" s="9">
        <v>44974</v>
      </c>
      <c r="S17" s="9">
        <v>44980</v>
      </c>
      <c r="T17" s="8" t="str">
        <f t="shared" si="0"/>
        <v>Cerrado</v>
      </c>
      <c r="U17" s="10">
        <f>IF(S17="",Listas!$I$1-B17,S17-B17)</f>
        <v>7</v>
      </c>
    </row>
    <row r="18" spans="1:21" x14ac:dyDescent="0.3">
      <c r="A18" s="8" t="s">
        <v>188</v>
      </c>
      <c r="B18" s="9">
        <v>44977</v>
      </c>
      <c r="C18" s="8" t="s">
        <v>189</v>
      </c>
      <c r="D18" s="8" t="s">
        <v>190</v>
      </c>
      <c r="E18" s="8" t="s">
        <v>72</v>
      </c>
      <c r="F18" s="8" t="s">
        <v>191</v>
      </c>
      <c r="G18" s="8" t="s">
        <v>58</v>
      </c>
      <c r="H18" s="8" t="s">
        <v>59</v>
      </c>
      <c r="I18" s="8" t="s">
        <v>192</v>
      </c>
      <c r="J18" s="8" t="s">
        <v>139</v>
      </c>
      <c r="K18" s="8" t="s">
        <v>112</v>
      </c>
      <c r="L18" s="8" t="s">
        <v>78</v>
      </c>
      <c r="M18" s="8" t="s">
        <v>64</v>
      </c>
      <c r="N18" s="8" t="s">
        <v>135</v>
      </c>
      <c r="O18" s="8" t="s">
        <v>140</v>
      </c>
      <c r="P18" s="8" t="s">
        <v>141</v>
      </c>
      <c r="Q18" s="8" t="s">
        <v>68</v>
      </c>
      <c r="R18" s="9">
        <v>44979</v>
      </c>
      <c r="S18" s="9">
        <v>44983</v>
      </c>
      <c r="T18" s="8" t="str">
        <f t="shared" si="0"/>
        <v>Cerrado</v>
      </c>
      <c r="U18" s="10">
        <f>IF(S18="",Listas!$I$1-B18,S18-B18)</f>
        <v>6</v>
      </c>
    </row>
    <row r="19" spans="1:21" x14ac:dyDescent="0.3">
      <c r="A19" s="8" t="s">
        <v>193</v>
      </c>
      <c r="B19" s="9">
        <v>44982</v>
      </c>
      <c r="C19" s="8" t="s">
        <v>194</v>
      </c>
      <c r="D19" s="8" t="s">
        <v>195</v>
      </c>
      <c r="E19" s="8" t="s">
        <v>125</v>
      </c>
      <c r="F19" s="8" t="s">
        <v>196</v>
      </c>
      <c r="G19" s="8" t="s">
        <v>197</v>
      </c>
      <c r="H19" s="8" t="s">
        <v>198</v>
      </c>
      <c r="I19" s="8" t="s">
        <v>199</v>
      </c>
      <c r="J19" s="8" t="s">
        <v>101</v>
      </c>
      <c r="K19" s="8" t="s">
        <v>62</v>
      </c>
      <c r="L19" s="8" t="s">
        <v>63</v>
      </c>
      <c r="M19" s="8" t="s">
        <v>64</v>
      </c>
      <c r="N19" s="8" t="s">
        <v>135</v>
      </c>
      <c r="O19" s="8" t="s">
        <v>103</v>
      </c>
      <c r="P19" s="8" t="s">
        <v>104</v>
      </c>
      <c r="Q19" s="8" t="s">
        <v>68</v>
      </c>
      <c r="R19" s="9">
        <v>44984</v>
      </c>
      <c r="S19" s="9">
        <v>44996</v>
      </c>
      <c r="T19" s="8" t="str">
        <f t="shared" si="0"/>
        <v>Cerrado</v>
      </c>
      <c r="U19" s="10">
        <f>IF(S19="",Listas!$I$1-B19,S19-B19)</f>
        <v>14</v>
      </c>
    </row>
    <row r="20" spans="1:21" x14ac:dyDescent="0.3">
      <c r="A20" s="8" t="s">
        <v>200</v>
      </c>
      <c r="B20" s="9">
        <v>44980</v>
      </c>
      <c r="C20" s="8" t="s">
        <v>201</v>
      </c>
      <c r="D20" s="8" t="s">
        <v>202</v>
      </c>
      <c r="E20" s="8" t="s">
        <v>116</v>
      </c>
      <c r="F20" s="8" t="s">
        <v>203</v>
      </c>
      <c r="G20" s="8" t="s">
        <v>204</v>
      </c>
      <c r="H20" s="8" t="s">
        <v>205</v>
      </c>
      <c r="I20" s="8" t="s">
        <v>206</v>
      </c>
      <c r="J20" s="8" t="s">
        <v>89</v>
      </c>
      <c r="K20" s="8" t="s">
        <v>90</v>
      </c>
      <c r="L20" s="8" t="s">
        <v>102</v>
      </c>
      <c r="M20" s="8" t="s">
        <v>64</v>
      </c>
      <c r="N20" s="8" t="s">
        <v>65</v>
      </c>
      <c r="O20" s="8" t="s">
        <v>91</v>
      </c>
      <c r="P20" s="8" t="s">
        <v>92</v>
      </c>
      <c r="Q20" s="8" t="s">
        <v>81</v>
      </c>
      <c r="R20" s="9">
        <v>44984</v>
      </c>
      <c r="S20" s="9">
        <v>45000</v>
      </c>
      <c r="T20" s="8" t="str">
        <f t="shared" si="0"/>
        <v>Cerrado</v>
      </c>
      <c r="U20" s="10">
        <f>IF(S20="",Listas!$I$1-B20,S20-B20)</f>
        <v>20</v>
      </c>
    </row>
    <row r="21" spans="1:21" x14ac:dyDescent="0.3">
      <c r="A21" s="8" t="s">
        <v>207</v>
      </c>
      <c r="B21" s="9">
        <v>44997</v>
      </c>
      <c r="C21" s="8" t="s">
        <v>208</v>
      </c>
      <c r="D21" s="8" t="s">
        <v>209</v>
      </c>
      <c r="E21" s="8" t="s">
        <v>116</v>
      </c>
      <c r="F21" s="8" t="s">
        <v>210</v>
      </c>
      <c r="G21" s="8" t="s">
        <v>211</v>
      </c>
      <c r="H21" s="8" t="s">
        <v>212</v>
      </c>
      <c r="I21" s="8" t="s">
        <v>213</v>
      </c>
      <c r="J21" s="8" t="s">
        <v>147</v>
      </c>
      <c r="K21" s="8" t="s">
        <v>90</v>
      </c>
      <c r="L21" s="8" t="s">
        <v>78</v>
      </c>
      <c r="M21" s="8" t="s">
        <v>64</v>
      </c>
      <c r="N21" s="8" t="s">
        <v>65</v>
      </c>
      <c r="O21" s="8" t="s">
        <v>148</v>
      </c>
      <c r="P21" s="8" t="s">
        <v>149</v>
      </c>
      <c r="Q21" s="8" t="s">
        <v>150</v>
      </c>
      <c r="R21" s="9">
        <v>44997</v>
      </c>
      <c r="S21" s="9">
        <v>45002</v>
      </c>
      <c r="T21" s="8" t="str">
        <f t="shared" si="0"/>
        <v>Cerrado</v>
      </c>
      <c r="U21" s="10">
        <f>IF(S21="",Listas!$I$1-B21,S21-B21)</f>
        <v>5</v>
      </c>
    </row>
    <row r="22" spans="1:21" x14ac:dyDescent="0.3">
      <c r="A22" s="8" t="s">
        <v>214</v>
      </c>
      <c r="B22" s="9">
        <v>44995</v>
      </c>
      <c r="C22" s="8" t="s">
        <v>215</v>
      </c>
      <c r="D22" s="8" t="s">
        <v>216</v>
      </c>
      <c r="E22" s="8" t="s">
        <v>72</v>
      </c>
      <c r="F22" s="8" t="s">
        <v>217</v>
      </c>
      <c r="G22" s="8" t="s">
        <v>58</v>
      </c>
      <c r="H22" s="8" t="s">
        <v>59</v>
      </c>
      <c r="I22" s="8" t="s">
        <v>218</v>
      </c>
      <c r="J22" s="8" t="s">
        <v>61</v>
      </c>
      <c r="K22" s="8" t="s">
        <v>62</v>
      </c>
      <c r="L22" s="8" t="s">
        <v>102</v>
      </c>
      <c r="M22" s="8" t="s">
        <v>64</v>
      </c>
      <c r="N22" s="8" t="s">
        <v>65</v>
      </c>
      <c r="O22" s="8" t="s">
        <v>66</v>
      </c>
      <c r="P22" s="8" t="s">
        <v>67</v>
      </c>
      <c r="Q22" s="8" t="s">
        <v>68</v>
      </c>
      <c r="R22" s="9">
        <v>44998</v>
      </c>
      <c r="S22" s="9">
        <v>45003</v>
      </c>
      <c r="T22" s="8" t="str">
        <f t="shared" si="0"/>
        <v>Cerrado</v>
      </c>
      <c r="U22" s="10">
        <f>IF(S22="",Listas!$I$1-B22,S22-B22)</f>
        <v>8</v>
      </c>
    </row>
    <row r="23" spans="1:21" x14ac:dyDescent="0.3">
      <c r="A23" s="8" t="s">
        <v>219</v>
      </c>
      <c r="B23" s="9">
        <v>44997</v>
      </c>
      <c r="C23" s="8" t="s">
        <v>220</v>
      </c>
      <c r="D23" s="8" t="s">
        <v>221</v>
      </c>
      <c r="E23" s="8" t="s">
        <v>125</v>
      </c>
      <c r="F23" s="8" t="s">
        <v>222</v>
      </c>
      <c r="G23" s="8" t="s">
        <v>223</v>
      </c>
      <c r="H23" s="8" t="s">
        <v>224</v>
      </c>
      <c r="I23" s="8" t="s">
        <v>225</v>
      </c>
      <c r="J23" s="8" t="s">
        <v>89</v>
      </c>
      <c r="K23" s="8" t="s">
        <v>62</v>
      </c>
      <c r="L23" s="8" t="s">
        <v>102</v>
      </c>
      <c r="M23" s="8" t="s">
        <v>64</v>
      </c>
      <c r="N23" s="8" t="s">
        <v>65</v>
      </c>
      <c r="O23" s="8" t="s">
        <v>91</v>
      </c>
      <c r="P23" s="8" t="s">
        <v>92</v>
      </c>
      <c r="Q23" s="8" t="s">
        <v>81</v>
      </c>
      <c r="R23" s="9">
        <v>45001</v>
      </c>
      <c r="S23" s="9">
        <v>45007</v>
      </c>
      <c r="T23" s="8" t="str">
        <f t="shared" si="0"/>
        <v>Cerrado</v>
      </c>
      <c r="U23" s="10">
        <f>IF(S23="",Listas!$I$1-B23,S23-B23)</f>
        <v>10</v>
      </c>
    </row>
    <row r="24" spans="1:21" x14ac:dyDescent="0.3">
      <c r="A24" s="8" t="s">
        <v>226</v>
      </c>
      <c r="B24" s="9">
        <v>45000</v>
      </c>
      <c r="C24" s="8" t="s">
        <v>227</v>
      </c>
      <c r="D24" s="8" t="s">
        <v>228</v>
      </c>
      <c r="E24" s="8" t="s">
        <v>72</v>
      </c>
      <c r="F24" s="8" t="s">
        <v>229</v>
      </c>
      <c r="G24" s="8" t="s">
        <v>230</v>
      </c>
      <c r="H24" s="8" t="s">
        <v>231</v>
      </c>
      <c r="I24" s="8" t="s">
        <v>232</v>
      </c>
      <c r="J24" s="8" t="s">
        <v>61</v>
      </c>
      <c r="K24" s="8" t="s">
        <v>90</v>
      </c>
      <c r="L24" s="8" t="s">
        <v>102</v>
      </c>
      <c r="M24" s="8" t="s">
        <v>64</v>
      </c>
      <c r="N24" s="8" t="s">
        <v>65</v>
      </c>
      <c r="O24" s="8" t="s">
        <v>66</v>
      </c>
      <c r="P24" s="8" t="s">
        <v>67</v>
      </c>
      <c r="Q24" s="8" t="s">
        <v>68</v>
      </c>
      <c r="R24" s="9">
        <v>45000</v>
      </c>
      <c r="S24" s="9">
        <v>45007</v>
      </c>
      <c r="T24" s="8" t="str">
        <f t="shared" si="0"/>
        <v>Cerrado</v>
      </c>
      <c r="U24" s="10">
        <f>IF(S24="",Listas!$I$1-B24,S24-B24)</f>
        <v>7</v>
      </c>
    </row>
    <row r="25" spans="1:21" x14ac:dyDescent="0.3">
      <c r="A25" s="8" t="s">
        <v>233</v>
      </c>
      <c r="B25" s="9">
        <v>45004</v>
      </c>
      <c r="C25" s="8" t="s">
        <v>234</v>
      </c>
      <c r="D25" s="8" t="s">
        <v>235</v>
      </c>
      <c r="E25" s="8" t="s">
        <v>116</v>
      </c>
      <c r="F25" s="8" t="s">
        <v>236</v>
      </c>
      <c r="G25" s="8" t="s">
        <v>230</v>
      </c>
      <c r="H25" s="8" t="s">
        <v>231</v>
      </c>
      <c r="I25" s="8" t="s">
        <v>237</v>
      </c>
      <c r="J25" s="8" t="s">
        <v>89</v>
      </c>
      <c r="K25" s="8" t="s">
        <v>90</v>
      </c>
      <c r="L25" s="8" t="s">
        <v>78</v>
      </c>
      <c r="M25" s="8" t="s">
        <v>64</v>
      </c>
      <c r="N25" s="8" t="s">
        <v>65</v>
      </c>
      <c r="O25" s="8" t="s">
        <v>91</v>
      </c>
      <c r="P25" s="8" t="s">
        <v>92</v>
      </c>
      <c r="Q25" s="8" t="s">
        <v>81</v>
      </c>
      <c r="R25" s="9">
        <v>45007</v>
      </c>
      <c r="S25" s="9">
        <v>45018</v>
      </c>
      <c r="T25" s="8" t="str">
        <f t="shared" si="0"/>
        <v>Cerrado</v>
      </c>
      <c r="U25" s="10">
        <f>IF(S25="",Listas!$I$1-B25,S25-B25)</f>
        <v>14</v>
      </c>
    </row>
    <row r="26" spans="1:21" x14ac:dyDescent="0.3">
      <c r="A26" s="8" t="s">
        <v>238</v>
      </c>
      <c r="B26" s="9">
        <v>45008</v>
      </c>
      <c r="C26" s="8" t="s">
        <v>239</v>
      </c>
      <c r="D26" s="8" t="s">
        <v>240</v>
      </c>
      <c r="E26" s="8" t="s">
        <v>72</v>
      </c>
      <c r="F26" s="8" t="s">
        <v>241</v>
      </c>
      <c r="G26" s="8" t="s">
        <v>242</v>
      </c>
      <c r="H26" s="8" t="s">
        <v>243</v>
      </c>
      <c r="I26" s="8" t="s">
        <v>244</v>
      </c>
      <c r="J26" s="8" t="s">
        <v>139</v>
      </c>
      <c r="K26" s="8" t="s">
        <v>62</v>
      </c>
      <c r="L26" s="8" t="s">
        <v>121</v>
      </c>
      <c r="M26" s="8" t="s">
        <v>64</v>
      </c>
      <c r="N26" s="8" t="s">
        <v>65</v>
      </c>
      <c r="O26" s="8" t="s">
        <v>140</v>
      </c>
      <c r="P26" s="8" t="s">
        <v>141</v>
      </c>
      <c r="Q26" s="8" t="s">
        <v>68</v>
      </c>
      <c r="R26" s="9">
        <v>45011</v>
      </c>
      <c r="S26" s="9">
        <v>45025</v>
      </c>
      <c r="T26" s="8" t="str">
        <f t="shared" si="0"/>
        <v>Cerrado</v>
      </c>
      <c r="U26" s="10">
        <f>IF(S26="",Listas!$I$1-B26,S26-B26)</f>
        <v>17</v>
      </c>
    </row>
    <row r="27" spans="1:21" x14ac:dyDescent="0.3">
      <c r="A27" s="8" t="s">
        <v>245</v>
      </c>
      <c r="B27" s="9">
        <v>45016</v>
      </c>
      <c r="C27" s="8" t="s">
        <v>246</v>
      </c>
      <c r="D27" s="8" t="s">
        <v>247</v>
      </c>
      <c r="E27" s="8" t="s">
        <v>125</v>
      </c>
      <c r="F27" s="8" t="s">
        <v>248</v>
      </c>
      <c r="G27" s="8" t="s">
        <v>160</v>
      </c>
      <c r="H27" s="8" t="s">
        <v>161</v>
      </c>
      <c r="I27" s="8" t="s">
        <v>249</v>
      </c>
      <c r="J27" s="8" t="s">
        <v>61</v>
      </c>
      <c r="K27" s="8" t="s">
        <v>90</v>
      </c>
      <c r="L27" s="8" t="s">
        <v>121</v>
      </c>
      <c r="M27" s="8" t="s">
        <v>64</v>
      </c>
      <c r="N27" s="8" t="s">
        <v>65</v>
      </c>
      <c r="O27" s="8" t="s">
        <v>66</v>
      </c>
      <c r="P27" s="8" t="s">
        <v>67</v>
      </c>
      <c r="Q27" s="8" t="s">
        <v>68</v>
      </c>
      <c r="R27" s="9">
        <v>45016</v>
      </c>
      <c r="S27" s="9">
        <v>45021</v>
      </c>
      <c r="T27" s="8" t="str">
        <f t="shared" si="0"/>
        <v>Cerrado</v>
      </c>
      <c r="U27" s="10">
        <f>IF(S27="",Listas!$I$1-B27,S27-B27)</f>
        <v>5</v>
      </c>
    </row>
    <row r="28" spans="1:21" x14ac:dyDescent="0.3">
      <c r="A28" s="8" t="s">
        <v>250</v>
      </c>
      <c r="B28" s="9">
        <v>45017</v>
      </c>
      <c r="C28" s="8" t="s">
        <v>251</v>
      </c>
      <c r="D28" s="8" t="s">
        <v>252</v>
      </c>
      <c r="E28" s="8" t="s">
        <v>56</v>
      </c>
      <c r="F28" s="8" t="s">
        <v>253</v>
      </c>
      <c r="G28" s="8" t="s">
        <v>160</v>
      </c>
      <c r="H28" s="8" t="s">
        <v>161</v>
      </c>
      <c r="I28" s="8" t="s">
        <v>254</v>
      </c>
      <c r="J28" s="8" t="s">
        <v>139</v>
      </c>
      <c r="K28" s="8" t="s">
        <v>112</v>
      </c>
      <c r="L28" s="8" t="s">
        <v>63</v>
      </c>
      <c r="M28" s="8" t="s">
        <v>64</v>
      </c>
      <c r="N28" s="8" t="s">
        <v>135</v>
      </c>
      <c r="O28" s="8" t="s">
        <v>140</v>
      </c>
      <c r="P28" s="8" t="s">
        <v>141</v>
      </c>
      <c r="Q28" s="8" t="s">
        <v>68</v>
      </c>
      <c r="R28" s="9">
        <v>45020</v>
      </c>
      <c r="S28" s="9">
        <v>45030</v>
      </c>
      <c r="T28" s="8" t="str">
        <f t="shared" si="0"/>
        <v>Cerrado</v>
      </c>
      <c r="U28" s="10">
        <f>IF(S28="",Listas!$I$1-B28,S28-B28)</f>
        <v>13</v>
      </c>
    </row>
    <row r="29" spans="1:21" x14ac:dyDescent="0.3">
      <c r="A29" s="8" t="s">
        <v>255</v>
      </c>
      <c r="B29" s="9">
        <v>45013</v>
      </c>
      <c r="C29" s="8" t="s">
        <v>256</v>
      </c>
      <c r="D29" s="8" t="s">
        <v>257</v>
      </c>
      <c r="E29" s="8" t="s">
        <v>72</v>
      </c>
      <c r="F29" s="8" t="s">
        <v>258</v>
      </c>
      <c r="G29" s="8" t="s">
        <v>74</v>
      </c>
      <c r="H29" s="8" t="s">
        <v>75</v>
      </c>
      <c r="I29" s="8" t="s">
        <v>259</v>
      </c>
      <c r="J29" s="8" t="s">
        <v>178</v>
      </c>
      <c r="K29" s="8" t="s">
        <v>90</v>
      </c>
      <c r="L29" s="8" t="s">
        <v>121</v>
      </c>
      <c r="M29" s="8" t="s">
        <v>64</v>
      </c>
      <c r="N29" s="8" t="s">
        <v>65</v>
      </c>
      <c r="O29" s="8" t="s">
        <v>179</v>
      </c>
      <c r="P29" s="8" t="s">
        <v>180</v>
      </c>
      <c r="Q29" s="8" t="s">
        <v>150</v>
      </c>
      <c r="R29" s="9">
        <v>45014</v>
      </c>
      <c r="S29" s="9">
        <v>45026</v>
      </c>
      <c r="T29" s="8" t="str">
        <f t="shared" si="0"/>
        <v>Cerrado</v>
      </c>
      <c r="U29" s="10">
        <f>IF(S29="",Listas!$I$1-B29,S29-B29)</f>
        <v>13</v>
      </c>
    </row>
    <row r="30" spans="1:21" x14ac:dyDescent="0.3">
      <c r="A30" s="8" t="s">
        <v>260</v>
      </c>
      <c r="B30" s="9">
        <v>45017</v>
      </c>
      <c r="C30" s="8" t="s">
        <v>261</v>
      </c>
      <c r="D30" s="8" t="s">
        <v>262</v>
      </c>
      <c r="E30" s="8" t="s">
        <v>56</v>
      </c>
      <c r="F30" s="8" t="s">
        <v>263</v>
      </c>
      <c r="G30" s="8" t="s">
        <v>160</v>
      </c>
      <c r="H30" s="8" t="s">
        <v>161</v>
      </c>
      <c r="I30" s="8" t="s">
        <v>264</v>
      </c>
      <c r="J30" s="8" t="s">
        <v>101</v>
      </c>
      <c r="K30" s="8" t="s">
        <v>90</v>
      </c>
      <c r="L30" s="8" t="s">
        <v>102</v>
      </c>
      <c r="M30" s="8" t="s">
        <v>64</v>
      </c>
      <c r="N30" s="8" t="s">
        <v>65</v>
      </c>
      <c r="O30" s="8" t="s">
        <v>103</v>
      </c>
      <c r="P30" s="8" t="s">
        <v>104</v>
      </c>
      <c r="Q30" s="8" t="s">
        <v>68</v>
      </c>
      <c r="R30" s="9">
        <v>45021</v>
      </c>
      <c r="S30" s="9">
        <v>45029</v>
      </c>
      <c r="T30" s="8" t="str">
        <f t="shared" si="0"/>
        <v>Cerrado</v>
      </c>
      <c r="U30" s="10">
        <f>IF(S30="",Listas!$I$1-B30,S30-B30)</f>
        <v>12</v>
      </c>
    </row>
    <row r="31" spans="1:21" x14ac:dyDescent="0.3">
      <c r="A31" s="8" t="s">
        <v>265</v>
      </c>
      <c r="B31" s="9">
        <v>45023</v>
      </c>
      <c r="C31" s="8" t="s">
        <v>266</v>
      </c>
      <c r="D31" s="8" t="s">
        <v>267</v>
      </c>
      <c r="E31" s="8" t="s">
        <v>116</v>
      </c>
      <c r="F31" s="8" t="s">
        <v>268</v>
      </c>
      <c r="G31" s="8" t="s">
        <v>223</v>
      </c>
      <c r="H31" s="8" t="s">
        <v>224</v>
      </c>
      <c r="I31" s="8" t="s">
        <v>269</v>
      </c>
      <c r="J31" s="8" t="s">
        <v>139</v>
      </c>
      <c r="K31" s="8" t="s">
        <v>62</v>
      </c>
      <c r="L31" s="8" t="s">
        <v>121</v>
      </c>
      <c r="M31" s="8" t="s">
        <v>64</v>
      </c>
      <c r="N31" s="8" t="s">
        <v>65</v>
      </c>
      <c r="O31" s="8" t="s">
        <v>140</v>
      </c>
      <c r="P31" s="8" t="s">
        <v>141</v>
      </c>
      <c r="Q31" s="8" t="s">
        <v>68</v>
      </c>
      <c r="R31" s="9">
        <v>45023</v>
      </c>
      <c r="S31" s="9">
        <v>45029</v>
      </c>
      <c r="T31" s="8" t="str">
        <f t="shared" si="0"/>
        <v>Cerrado</v>
      </c>
      <c r="U31" s="10">
        <f>IF(S31="",Listas!$I$1-B31,S31-B31)</f>
        <v>6</v>
      </c>
    </row>
    <row r="32" spans="1:21" x14ac:dyDescent="0.3">
      <c r="A32" s="8" t="s">
        <v>270</v>
      </c>
      <c r="B32" s="9">
        <v>45019</v>
      </c>
      <c r="C32" s="8" t="s">
        <v>271</v>
      </c>
      <c r="D32" s="8" t="s">
        <v>272</v>
      </c>
      <c r="E32" s="8" t="s">
        <v>116</v>
      </c>
      <c r="F32" s="8" t="s">
        <v>273</v>
      </c>
      <c r="G32" s="8" t="s">
        <v>185</v>
      </c>
      <c r="H32" s="8" t="s">
        <v>186</v>
      </c>
      <c r="I32" s="8" t="s">
        <v>274</v>
      </c>
      <c r="J32" s="8" t="s">
        <v>147</v>
      </c>
      <c r="K32" s="8" t="s">
        <v>62</v>
      </c>
      <c r="L32" s="8" t="s">
        <v>121</v>
      </c>
      <c r="M32" s="8" t="s">
        <v>64</v>
      </c>
      <c r="N32" s="8" t="s">
        <v>65</v>
      </c>
      <c r="O32" s="8" t="s">
        <v>148</v>
      </c>
      <c r="P32" s="8" t="s">
        <v>149</v>
      </c>
      <c r="Q32" s="8" t="s">
        <v>150</v>
      </c>
      <c r="R32" s="9">
        <v>45023</v>
      </c>
      <c r="S32" s="9">
        <v>45033</v>
      </c>
      <c r="T32" s="8" t="str">
        <f t="shared" si="0"/>
        <v>Cerrado</v>
      </c>
      <c r="U32" s="10">
        <f>IF(S32="",Listas!$I$1-B32,S32-B32)</f>
        <v>14</v>
      </c>
    </row>
    <row r="33" spans="1:21" x14ac:dyDescent="0.3">
      <c r="A33" s="8" t="s">
        <v>275</v>
      </c>
      <c r="B33" s="9">
        <v>45021</v>
      </c>
      <c r="C33" s="8" t="s">
        <v>276</v>
      </c>
      <c r="D33" s="8" t="s">
        <v>277</v>
      </c>
      <c r="E33" s="8" t="s">
        <v>72</v>
      </c>
      <c r="F33" s="8" t="s">
        <v>278</v>
      </c>
      <c r="G33" s="8" t="s">
        <v>86</v>
      </c>
      <c r="H33" s="8" t="s">
        <v>87</v>
      </c>
      <c r="I33" s="8" t="s">
        <v>279</v>
      </c>
      <c r="J33" s="8" t="s">
        <v>77</v>
      </c>
      <c r="K33" s="8" t="s">
        <v>112</v>
      </c>
      <c r="L33" s="8" t="s">
        <v>102</v>
      </c>
      <c r="M33" s="8" t="s">
        <v>64</v>
      </c>
      <c r="N33" s="8" t="s">
        <v>65</v>
      </c>
      <c r="O33" s="8" t="s">
        <v>79</v>
      </c>
      <c r="P33" s="8" t="s">
        <v>80</v>
      </c>
      <c r="Q33" s="8" t="s">
        <v>81</v>
      </c>
      <c r="R33" s="9">
        <v>45023</v>
      </c>
      <c r="S33" s="9">
        <v>45040</v>
      </c>
      <c r="T33" s="8" t="str">
        <f t="shared" si="0"/>
        <v>Cerrado</v>
      </c>
      <c r="U33" s="10">
        <f>IF(S33="",Listas!$I$1-B33,S33-B33)</f>
        <v>19</v>
      </c>
    </row>
    <row r="34" spans="1:21" x14ac:dyDescent="0.3">
      <c r="A34" s="8" t="s">
        <v>280</v>
      </c>
      <c r="B34" s="9">
        <v>45028</v>
      </c>
      <c r="C34" s="8" t="s">
        <v>281</v>
      </c>
      <c r="D34" s="8" t="s">
        <v>282</v>
      </c>
      <c r="E34" s="8" t="s">
        <v>56</v>
      </c>
      <c r="F34" s="8" t="s">
        <v>283</v>
      </c>
      <c r="G34" s="8" t="s">
        <v>284</v>
      </c>
      <c r="H34" s="8" t="s">
        <v>285</v>
      </c>
      <c r="I34" s="8" t="s">
        <v>286</v>
      </c>
      <c r="J34" s="8" t="s">
        <v>139</v>
      </c>
      <c r="K34" s="8" t="s">
        <v>112</v>
      </c>
      <c r="L34" s="8" t="s">
        <v>102</v>
      </c>
      <c r="M34" s="8" t="s">
        <v>64</v>
      </c>
      <c r="N34" s="8" t="s">
        <v>65</v>
      </c>
      <c r="O34" s="8" t="s">
        <v>140</v>
      </c>
      <c r="P34" s="8" t="s">
        <v>141</v>
      </c>
      <c r="Q34" s="8" t="s">
        <v>68</v>
      </c>
      <c r="R34" s="9">
        <v>45031</v>
      </c>
      <c r="S34" s="9">
        <v>45040</v>
      </c>
      <c r="T34" s="8" t="str">
        <f t="shared" si="0"/>
        <v>Cerrado</v>
      </c>
      <c r="U34" s="10">
        <f>IF(S34="",Listas!$I$1-B34,S34-B34)</f>
        <v>12</v>
      </c>
    </row>
    <row r="35" spans="1:21" x14ac:dyDescent="0.3">
      <c r="A35" s="8" t="s">
        <v>287</v>
      </c>
      <c r="B35" s="9">
        <v>45033</v>
      </c>
      <c r="C35" s="8" t="s">
        <v>288</v>
      </c>
      <c r="D35" s="8" t="s">
        <v>289</v>
      </c>
      <c r="E35" s="8" t="s">
        <v>96</v>
      </c>
      <c r="F35" s="8" t="s">
        <v>290</v>
      </c>
      <c r="G35" s="8" t="s">
        <v>230</v>
      </c>
      <c r="H35" s="8" t="s">
        <v>231</v>
      </c>
      <c r="I35" s="8" t="s">
        <v>291</v>
      </c>
      <c r="J35" s="8" t="s">
        <v>139</v>
      </c>
      <c r="K35" s="8" t="s">
        <v>90</v>
      </c>
      <c r="L35" s="8" t="s">
        <v>78</v>
      </c>
      <c r="M35" s="8" t="s">
        <v>64</v>
      </c>
      <c r="N35" s="8" t="s">
        <v>65</v>
      </c>
      <c r="O35" s="8" t="s">
        <v>140</v>
      </c>
      <c r="P35" s="8" t="s">
        <v>141</v>
      </c>
      <c r="Q35" s="8" t="s">
        <v>68</v>
      </c>
      <c r="R35" s="9">
        <v>45036</v>
      </c>
      <c r="S35" s="9">
        <v>45042</v>
      </c>
      <c r="T35" s="8" t="str">
        <f t="shared" si="0"/>
        <v>Cerrado</v>
      </c>
      <c r="U35" s="10">
        <f>IF(S35="",Listas!$I$1-B35,S35-B35)</f>
        <v>9</v>
      </c>
    </row>
    <row r="36" spans="1:21" x14ac:dyDescent="0.3">
      <c r="A36" s="8" t="s">
        <v>292</v>
      </c>
      <c r="B36" s="9">
        <v>45030</v>
      </c>
      <c r="C36" s="8" t="s">
        <v>132</v>
      </c>
      <c r="D36" s="8" t="s">
        <v>133</v>
      </c>
      <c r="E36" s="8" t="s">
        <v>125</v>
      </c>
      <c r="F36" s="8" t="s">
        <v>293</v>
      </c>
      <c r="G36" s="8" t="s">
        <v>185</v>
      </c>
      <c r="H36" s="8" t="s">
        <v>186</v>
      </c>
      <c r="I36" s="8" t="s">
        <v>294</v>
      </c>
      <c r="J36" s="8" t="s">
        <v>139</v>
      </c>
      <c r="K36" s="8" t="s">
        <v>62</v>
      </c>
      <c r="L36" s="8" t="s">
        <v>63</v>
      </c>
      <c r="M36" s="8" t="s">
        <v>64</v>
      </c>
      <c r="N36" s="8" t="s">
        <v>135</v>
      </c>
      <c r="O36" s="8" t="s">
        <v>140</v>
      </c>
      <c r="P36" s="8" t="s">
        <v>141</v>
      </c>
      <c r="Q36" s="8" t="s">
        <v>68</v>
      </c>
      <c r="R36" s="9">
        <v>45032</v>
      </c>
      <c r="S36" s="9">
        <v>45036</v>
      </c>
      <c r="T36" s="8" t="str">
        <f t="shared" si="0"/>
        <v>Cerrado</v>
      </c>
      <c r="U36" s="10">
        <f>IF(S36="",Listas!$I$1-B36,S36-B36)</f>
        <v>6</v>
      </c>
    </row>
    <row r="37" spans="1:21" x14ac:dyDescent="0.3">
      <c r="A37" s="8" t="s">
        <v>295</v>
      </c>
      <c r="B37" s="9">
        <v>45037</v>
      </c>
      <c r="C37" s="8" t="s">
        <v>220</v>
      </c>
      <c r="D37" s="8" t="s">
        <v>221</v>
      </c>
      <c r="E37" s="8" t="s">
        <v>125</v>
      </c>
      <c r="F37" s="8" t="s">
        <v>296</v>
      </c>
      <c r="G37" s="8" t="s">
        <v>167</v>
      </c>
      <c r="H37" s="8" t="s">
        <v>168</v>
      </c>
      <c r="I37" s="8" t="s">
        <v>297</v>
      </c>
      <c r="J37" s="8" t="s">
        <v>77</v>
      </c>
      <c r="K37" s="8" t="s">
        <v>62</v>
      </c>
      <c r="L37" s="8" t="s">
        <v>121</v>
      </c>
      <c r="M37" s="8" t="s">
        <v>64</v>
      </c>
      <c r="N37" s="8" t="s">
        <v>65</v>
      </c>
      <c r="O37" s="8" t="s">
        <v>79</v>
      </c>
      <c r="P37" s="8" t="s">
        <v>80</v>
      </c>
      <c r="Q37" s="8" t="s">
        <v>81</v>
      </c>
      <c r="R37" s="9">
        <v>45037</v>
      </c>
      <c r="S37" s="9">
        <v>45049</v>
      </c>
      <c r="T37" s="8" t="str">
        <f t="shared" si="0"/>
        <v>Cerrado</v>
      </c>
      <c r="U37" s="10">
        <f>IF(S37="",Listas!$I$1-B37,S37-B37)</f>
        <v>12</v>
      </c>
    </row>
    <row r="38" spans="1:21" x14ac:dyDescent="0.3">
      <c r="A38" s="8" t="s">
        <v>298</v>
      </c>
      <c r="B38" s="9">
        <v>45044</v>
      </c>
      <c r="C38" s="8" t="s">
        <v>182</v>
      </c>
      <c r="D38" s="8" t="s">
        <v>183</v>
      </c>
      <c r="E38" s="8" t="s">
        <v>72</v>
      </c>
      <c r="F38" s="8" t="s">
        <v>299</v>
      </c>
      <c r="G38" s="8" t="s">
        <v>211</v>
      </c>
      <c r="H38" s="8" t="s">
        <v>212</v>
      </c>
      <c r="I38" s="8" t="s">
        <v>300</v>
      </c>
      <c r="J38" s="8" t="s">
        <v>178</v>
      </c>
      <c r="K38" s="8" t="s">
        <v>90</v>
      </c>
      <c r="L38" s="8" t="s">
        <v>63</v>
      </c>
      <c r="M38" s="8" t="s">
        <v>64</v>
      </c>
      <c r="N38" s="8" t="s">
        <v>65</v>
      </c>
      <c r="O38" s="8" t="s">
        <v>179</v>
      </c>
      <c r="P38" s="8" t="s">
        <v>180</v>
      </c>
      <c r="Q38" s="8" t="s">
        <v>150</v>
      </c>
      <c r="R38" s="9">
        <v>45048</v>
      </c>
      <c r="S38" s="9">
        <v>45054</v>
      </c>
      <c r="T38" s="8" t="str">
        <f t="shared" si="0"/>
        <v>Cerrado</v>
      </c>
      <c r="U38" s="10">
        <f>IF(S38="",Listas!$I$1-B38,S38-B38)</f>
        <v>10</v>
      </c>
    </row>
    <row r="39" spans="1:21" x14ac:dyDescent="0.3">
      <c r="A39" s="8" t="s">
        <v>301</v>
      </c>
      <c r="B39" s="9">
        <v>45041</v>
      </c>
      <c r="C39" s="8" t="s">
        <v>302</v>
      </c>
      <c r="D39" s="8" t="s">
        <v>303</v>
      </c>
      <c r="E39" s="8" t="s">
        <v>72</v>
      </c>
      <c r="F39" s="8" t="s">
        <v>304</v>
      </c>
      <c r="G39" s="8" t="s">
        <v>160</v>
      </c>
      <c r="H39" s="8" t="s">
        <v>161</v>
      </c>
      <c r="I39" s="8" t="s">
        <v>305</v>
      </c>
      <c r="J39" s="8" t="s">
        <v>61</v>
      </c>
      <c r="K39" s="8" t="s">
        <v>90</v>
      </c>
      <c r="L39" s="8" t="s">
        <v>121</v>
      </c>
      <c r="M39" s="8" t="s">
        <v>64</v>
      </c>
      <c r="N39" s="8" t="s">
        <v>65</v>
      </c>
      <c r="O39" s="8" t="s">
        <v>66</v>
      </c>
      <c r="P39" s="8" t="s">
        <v>67</v>
      </c>
      <c r="Q39" s="8" t="s">
        <v>68</v>
      </c>
      <c r="R39" s="9">
        <v>45044</v>
      </c>
      <c r="S39" s="9">
        <v>45055</v>
      </c>
      <c r="T39" s="8" t="str">
        <f t="shared" si="0"/>
        <v>Cerrado</v>
      </c>
      <c r="U39" s="10">
        <f>IF(S39="",Listas!$I$1-B39,S39-B39)</f>
        <v>14</v>
      </c>
    </row>
    <row r="40" spans="1:21" x14ac:dyDescent="0.3">
      <c r="A40" s="8" t="s">
        <v>306</v>
      </c>
      <c r="B40" s="9">
        <v>45046</v>
      </c>
      <c r="C40" s="8" t="s">
        <v>239</v>
      </c>
      <c r="D40" s="8" t="s">
        <v>240</v>
      </c>
      <c r="E40" s="8" t="s">
        <v>72</v>
      </c>
      <c r="F40" s="8" t="s">
        <v>307</v>
      </c>
      <c r="G40" s="8" t="s">
        <v>308</v>
      </c>
      <c r="H40" s="8" t="s">
        <v>309</v>
      </c>
      <c r="I40" s="8" t="s">
        <v>310</v>
      </c>
      <c r="J40" s="8" t="s">
        <v>77</v>
      </c>
      <c r="K40" s="8" t="s">
        <v>90</v>
      </c>
      <c r="L40" s="8" t="s">
        <v>102</v>
      </c>
      <c r="M40" s="8" t="s">
        <v>64</v>
      </c>
      <c r="N40" s="8" t="s">
        <v>135</v>
      </c>
      <c r="O40" s="8" t="s">
        <v>79</v>
      </c>
      <c r="P40" s="8" t="s">
        <v>80</v>
      </c>
      <c r="Q40" s="8" t="s">
        <v>81</v>
      </c>
      <c r="R40" s="9">
        <v>45046</v>
      </c>
      <c r="S40" s="9">
        <v>45048</v>
      </c>
      <c r="T40" s="8" t="str">
        <f t="shared" si="0"/>
        <v>Cerrado</v>
      </c>
      <c r="U40" s="10">
        <f>IF(S40="",Listas!$I$1-B40,S40-B40)</f>
        <v>2</v>
      </c>
    </row>
    <row r="41" spans="1:21" x14ac:dyDescent="0.3">
      <c r="A41" s="8" t="s">
        <v>311</v>
      </c>
      <c r="B41" s="9">
        <v>45052</v>
      </c>
      <c r="C41" s="8" t="s">
        <v>54</v>
      </c>
      <c r="D41" s="8" t="s">
        <v>55</v>
      </c>
      <c r="E41" s="8" t="s">
        <v>56</v>
      </c>
      <c r="F41" s="8" t="s">
        <v>312</v>
      </c>
      <c r="G41" s="8" t="s">
        <v>230</v>
      </c>
      <c r="H41" s="8" t="s">
        <v>231</v>
      </c>
      <c r="I41" s="8" t="s">
        <v>313</v>
      </c>
      <c r="J41" s="8" t="s">
        <v>139</v>
      </c>
      <c r="K41" s="8" t="s">
        <v>112</v>
      </c>
      <c r="L41" s="8" t="s">
        <v>102</v>
      </c>
      <c r="M41" s="8" t="s">
        <v>64</v>
      </c>
      <c r="N41" s="8" t="s">
        <v>65</v>
      </c>
      <c r="O41" s="8" t="s">
        <v>140</v>
      </c>
      <c r="P41" s="8" t="s">
        <v>141</v>
      </c>
      <c r="Q41" s="8" t="s">
        <v>68</v>
      </c>
      <c r="R41" s="9">
        <v>45054</v>
      </c>
      <c r="S41" s="9">
        <v>45066</v>
      </c>
      <c r="T41" s="8" t="str">
        <f t="shared" si="0"/>
        <v>Cerrado</v>
      </c>
      <c r="U41" s="10">
        <f>IF(S41="",Listas!$I$1-B41,S41-B41)</f>
        <v>14</v>
      </c>
    </row>
    <row r="42" spans="1:21" x14ac:dyDescent="0.3">
      <c r="A42" s="8" t="s">
        <v>314</v>
      </c>
      <c r="B42" s="9">
        <v>45050</v>
      </c>
      <c r="C42" s="8" t="s">
        <v>315</v>
      </c>
      <c r="D42" s="8" t="s">
        <v>316</v>
      </c>
      <c r="E42" s="8" t="s">
        <v>72</v>
      </c>
      <c r="F42" s="8" t="s">
        <v>317</v>
      </c>
      <c r="G42" s="8" t="s">
        <v>242</v>
      </c>
      <c r="H42" s="8" t="s">
        <v>243</v>
      </c>
      <c r="I42" s="8" t="s">
        <v>318</v>
      </c>
      <c r="J42" s="8" t="s">
        <v>147</v>
      </c>
      <c r="K42" s="8" t="s">
        <v>62</v>
      </c>
      <c r="L42" s="8" t="s">
        <v>102</v>
      </c>
      <c r="M42" s="8" t="s">
        <v>64</v>
      </c>
      <c r="N42" s="8" t="s">
        <v>65</v>
      </c>
      <c r="O42" s="8" t="s">
        <v>148</v>
      </c>
      <c r="P42" s="8" t="s">
        <v>149</v>
      </c>
      <c r="Q42" s="8" t="s">
        <v>150</v>
      </c>
      <c r="R42" s="9">
        <v>45050</v>
      </c>
      <c r="S42" s="9">
        <v>45057</v>
      </c>
      <c r="T42" s="8" t="str">
        <f t="shared" si="0"/>
        <v>Cerrado</v>
      </c>
      <c r="U42" s="10">
        <f>IF(S42="",Listas!$I$1-B42,S42-B42)</f>
        <v>7</v>
      </c>
    </row>
    <row r="43" spans="1:21" x14ac:dyDescent="0.3">
      <c r="A43" s="8" t="s">
        <v>319</v>
      </c>
      <c r="B43" s="9">
        <v>45054</v>
      </c>
      <c r="C43" s="8" t="s">
        <v>246</v>
      </c>
      <c r="D43" s="8" t="s">
        <v>247</v>
      </c>
      <c r="E43" s="8" t="s">
        <v>125</v>
      </c>
      <c r="F43" s="8" t="s">
        <v>320</v>
      </c>
      <c r="G43" s="8" t="s">
        <v>167</v>
      </c>
      <c r="H43" s="8" t="s">
        <v>168</v>
      </c>
      <c r="I43" s="8" t="s">
        <v>321</v>
      </c>
      <c r="J43" s="8" t="s">
        <v>147</v>
      </c>
      <c r="K43" s="8" t="s">
        <v>62</v>
      </c>
      <c r="L43" s="8" t="s">
        <v>102</v>
      </c>
      <c r="M43" s="8" t="s">
        <v>64</v>
      </c>
      <c r="N43" s="8" t="s">
        <v>65</v>
      </c>
      <c r="O43" s="8" t="s">
        <v>148</v>
      </c>
      <c r="P43" s="8" t="s">
        <v>149</v>
      </c>
      <c r="Q43" s="8" t="s">
        <v>150</v>
      </c>
      <c r="R43" s="9">
        <v>45055</v>
      </c>
      <c r="S43" s="9">
        <v>45070</v>
      </c>
      <c r="T43" s="8" t="str">
        <f t="shared" si="0"/>
        <v>Cerrado</v>
      </c>
      <c r="U43" s="10">
        <f>IF(S43="",Listas!$I$1-B43,S43-B43)</f>
        <v>16</v>
      </c>
    </row>
    <row r="44" spans="1:21" x14ac:dyDescent="0.3">
      <c r="A44" s="8" t="s">
        <v>322</v>
      </c>
      <c r="B44" s="9">
        <v>45052</v>
      </c>
      <c r="C44" s="8" t="s">
        <v>323</v>
      </c>
      <c r="D44" s="8" t="s">
        <v>324</v>
      </c>
      <c r="E44" s="8" t="s">
        <v>125</v>
      </c>
      <c r="F44" s="8" t="s">
        <v>325</v>
      </c>
      <c r="G44" s="8" t="s">
        <v>242</v>
      </c>
      <c r="H44" s="8" t="s">
        <v>243</v>
      </c>
      <c r="I44" s="8" t="s">
        <v>326</v>
      </c>
      <c r="J44" s="8" t="s">
        <v>178</v>
      </c>
      <c r="K44" s="8" t="s">
        <v>90</v>
      </c>
      <c r="L44" s="8" t="s">
        <v>121</v>
      </c>
      <c r="M44" s="8" t="s">
        <v>64</v>
      </c>
      <c r="N44" s="8" t="s">
        <v>135</v>
      </c>
      <c r="O44" s="8" t="s">
        <v>179</v>
      </c>
      <c r="P44" s="8" t="s">
        <v>180</v>
      </c>
      <c r="Q44" s="8" t="s">
        <v>150</v>
      </c>
      <c r="R44" s="9">
        <v>45055</v>
      </c>
      <c r="S44" s="9">
        <v>45064</v>
      </c>
      <c r="T44" s="8" t="str">
        <f t="shared" si="0"/>
        <v>Cerrado</v>
      </c>
      <c r="U44" s="10">
        <f>IF(S44="",Listas!$I$1-B44,S44-B44)</f>
        <v>12</v>
      </c>
    </row>
    <row r="45" spans="1:21" x14ac:dyDescent="0.3">
      <c r="A45" s="8" t="s">
        <v>327</v>
      </c>
      <c r="B45" s="9">
        <v>45056</v>
      </c>
      <c r="C45" s="8" t="s">
        <v>182</v>
      </c>
      <c r="D45" s="8" t="s">
        <v>183</v>
      </c>
      <c r="E45" s="8" t="s">
        <v>72</v>
      </c>
      <c r="F45" s="8" t="s">
        <v>328</v>
      </c>
      <c r="G45" s="8" t="s">
        <v>74</v>
      </c>
      <c r="H45" s="8" t="s">
        <v>75</v>
      </c>
      <c r="I45" s="8" t="s">
        <v>329</v>
      </c>
      <c r="J45" s="8" t="s">
        <v>77</v>
      </c>
      <c r="K45" s="8" t="s">
        <v>62</v>
      </c>
      <c r="L45" s="8" t="s">
        <v>63</v>
      </c>
      <c r="M45" s="8" t="s">
        <v>64</v>
      </c>
      <c r="N45" s="8" t="s">
        <v>65</v>
      </c>
      <c r="O45" s="8" t="s">
        <v>79</v>
      </c>
      <c r="P45" s="8" t="s">
        <v>80</v>
      </c>
      <c r="Q45" s="8" t="s">
        <v>81</v>
      </c>
      <c r="R45" s="9">
        <v>45057</v>
      </c>
      <c r="S45" s="9">
        <v>45067</v>
      </c>
      <c r="T45" s="8" t="str">
        <f t="shared" si="0"/>
        <v>Cerrado</v>
      </c>
      <c r="U45" s="10">
        <f>IF(S45="",Listas!$I$1-B45,S45-B45)</f>
        <v>11</v>
      </c>
    </row>
    <row r="46" spans="1:21" x14ac:dyDescent="0.3">
      <c r="A46" s="8" t="s">
        <v>330</v>
      </c>
      <c r="B46" s="9">
        <v>45057</v>
      </c>
      <c r="C46" s="8" t="s">
        <v>331</v>
      </c>
      <c r="D46" s="8" t="s">
        <v>332</v>
      </c>
      <c r="E46" s="8" t="s">
        <v>72</v>
      </c>
      <c r="F46" s="8" t="s">
        <v>333</v>
      </c>
      <c r="G46" s="8" t="s">
        <v>334</v>
      </c>
      <c r="H46" s="8" t="s">
        <v>335</v>
      </c>
      <c r="I46" s="8" t="s">
        <v>336</v>
      </c>
      <c r="J46" s="8" t="s">
        <v>178</v>
      </c>
      <c r="K46" s="8" t="s">
        <v>90</v>
      </c>
      <c r="L46" s="8" t="s">
        <v>78</v>
      </c>
      <c r="M46" s="8" t="s">
        <v>64</v>
      </c>
      <c r="N46" s="8" t="s">
        <v>65</v>
      </c>
      <c r="O46" s="8" t="s">
        <v>179</v>
      </c>
      <c r="P46" s="8" t="s">
        <v>180</v>
      </c>
      <c r="Q46" s="8" t="s">
        <v>150</v>
      </c>
      <c r="R46" s="9">
        <v>45060</v>
      </c>
      <c r="S46" s="9">
        <v>45072</v>
      </c>
      <c r="T46" s="8" t="str">
        <f t="shared" si="0"/>
        <v>Cerrado</v>
      </c>
      <c r="U46" s="10">
        <f>IF(S46="",Listas!$I$1-B46,S46-B46)</f>
        <v>15</v>
      </c>
    </row>
    <row r="47" spans="1:21" x14ac:dyDescent="0.3">
      <c r="A47" s="8" t="s">
        <v>337</v>
      </c>
      <c r="B47" s="9">
        <v>45064</v>
      </c>
      <c r="C47" s="8" t="s">
        <v>194</v>
      </c>
      <c r="D47" s="8" t="s">
        <v>195</v>
      </c>
      <c r="E47" s="8" t="s">
        <v>125</v>
      </c>
      <c r="F47" s="8" t="s">
        <v>338</v>
      </c>
      <c r="G47" s="8" t="s">
        <v>230</v>
      </c>
      <c r="H47" s="8" t="s">
        <v>231</v>
      </c>
      <c r="I47" s="8" t="s">
        <v>339</v>
      </c>
      <c r="J47" s="8" t="s">
        <v>139</v>
      </c>
      <c r="K47" s="8" t="s">
        <v>90</v>
      </c>
      <c r="L47" s="8" t="s">
        <v>78</v>
      </c>
      <c r="M47" s="8" t="s">
        <v>64</v>
      </c>
      <c r="N47" s="8" t="s">
        <v>65</v>
      </c>
      <c r="O47" s="8" t="s">
        <v>140</v>
      </c>
      <c r="P47" s="8" t="s">
        <v>141</v>
      </c>
      <c r="Q47" s="8" t="s">
        <v>68</v>
      </c>
      <c r="R47" s="9">
        <v>45067</v>
      </c>
      <c r="S47" s="9">
        <v>45072</v>
      </c>
      <c r="T47" s="8" t="str">
        <f t="shared" si="0"/>
        <v>Cerrado</v>
      </c>
      <c r="U47" s="10">
        <f>IF(S47="",Listas!$I$1-B47,S47-B47)</f>
        <v>8</v>
      </c>
    </row>
    <row r="48" spans="1:21" x14ac:dyDescent="0.3">
      <c r="A48" s="8" t="s">
        <v>340</v>
      </c>
      <c r="B48" s="9">
        <v>45065</v>
      </c>
      <c r="C48" s="8" t="s">
        <v>341</v>
      </c>
      <c r="D48" s="8" t="s">
        <v>342</v>
      </c>
      <c r="E48" s="8" t="s">
        <v>125</v>
      </c>
      <c r="F48" s="8" t="s">
        <v>343</v>
      </c>
      <c r="G48" s="8" t="s">
        <v>230</v>
      </c>
      <c r="H48" s="8" t="s">
        <v>231</v>
      </c>
      <c r="I48" s="8" t="s">
        <v>339</v>
      </c>
      <c r="J48" s="8" t="s">
        <v>147</v>
      </c>
      <c r="K48" s="8" t="s">
        <v>90</v>
      </c>
      <c r="L48" s="8" t="s">
        <v>102</v>
      </c>
      <c r="M48" s="8" t="s">
        <v>64</v>
      </c>
      <c r="N48" s="8" t="s">
        <v>65</v>
      </c>
      <c r="O48" s="8" t="s">
        <v>148</v>
      </c>
      <c r="P48" s="8" t="s">
        <v>149</v>
      </c>
      <c r="Q48" s="8" t="s">
        <v>150</v>
      </c>
      <c r="R48" s="9">
        <v>45065</v>
      </c>
      <c r="S48" s="9">
        <v>45081</v>
      </c>
      <c r="T48" s="8" t="str">
        <f t="shared" si="0"/>
        <v>Cerrado</v>
      </c>
      <c r="U48" s="10">
        <f>IF(S48="",Listas!$I$1-B48,S48-B48)</f>
        <v>16</v>
      </c>
    </row>
    <row r="49" spans="1:21" x14ac:dyDescent="0.3">
      <c r="A49" s="8" t="s">
        <v>344</v>
      </c>
      <c r="B49" s="9">
        <v>45067</v>
      </c>
      <c r="C49" s="8" t="s">
        <v>276</v>
      </c>
      <c r="D49" s="8" t="s">
        <v>277</v>
      </c>
      <c r="E49" s="8" t="s">
        <v>72</v>
      </c>
      <c r="F49" s="8" t="s">
        <v>345</v>
      </c>
      <c r="G49" s="8" t="s">
        <v>160</v>
      </c>
      <c r="H49" s="8" t="s">
        <v>161</v>
      </c>
      <c r="I49" s="8" t="s">
        <v>346</v>
      </c>
      <c r="J49" s="8" t="s">
        <v>61</v>
      </c>
      <c r="K49" s="8" t="s">
        <v>62</v>
      </c>
      <c r="L49" s="8" t="s">
        <v>121</v>
      </c>
      <c r="M49" s="8" t="s">
        <v>64</v>
      </c>
      <c r="N49" s="8" t="s">
        <v>135</v>
      </c>
      <c r="O49" s="8" t="s">
        <v>66</v>
      </c>
      <c r="P49" s="8" t="s">
        <v>67</v>
      </c>
      <c r="Q49" s="8" t="s">
        <v>68</v>
      </c>
      <c r="R49" s="9">
        <v>45069</v>
      </c>
      <c r="S49" s="9">
        <v>45079</v>
      </c>
      <c r="T49" s="8" t="str">
        <f t="shared" si="0"/>
        <v>Cerrado</v>
      </c>
      <c r="U49" s="10">
        <f>IF(S49="",Listas!$I$1-B49,S49-B49)</f>
        <v>12</v>
      </c>
    </row>
    <row r="50" spans="1:21" x14ac:dyDescent="0.3">
      <c r="A50" s="8" t="s">
        <v>347</v>
      </c>
      <c r="B50" s="9">
        <v>45069</v>
      </c>
      <c r="C50" s="8" t="s">
        <v>348</v>
      </c>
      <c r="D50" s="8" t="s">
        <v>349</v>
      </c>
      <c r="E50" s="8" t="s">
        <v>125</v>
      </c>
      <c r="F50" s="8" t="s">
        <v>350</v>
      </c>
      <c r="G50" s="8" t="s">
        <v>204</v>
      </c>
      <c r="H50" s="8" t="s">
        <v>205</v>
      </c>
      <c r="I50" s="8" t="s">
        <v>351</v>
      </c>
      <c r="J50" s="8" t="s">
        <v>89</v>
      </c>
      <c r="K50" s="8" t="s">
        <v>62</v>
      </c>
      <c r="L50" s="8" t="s">
        <v>102</v>
      </c>
      <c r="M50" s="8" t="s">
        <v>64</v>
      </c>
      <c r="N50" s="8" t="s">
        <v>135</v>
      </c>
      <c r="O50" s="8" t="s">
        <v>91</v>
      </c>
      <c r="P50" s="8" t="s">
        <v>92</v>
      </c>
      <c r="Q50" s="8" t="s">
        <v>81</v>
      </c>
      <c r="R50" s="9">
        <v>45072</v>
      </c>
      <c r="S50" s="9">
        <v>45080</v>
      </c>
      <c r="T50" s="8" t="str">
        <f t="shared" si="0"/>
        <v>Cerrado</v>
      </c>
      <c r="U50" s="10">
        <f>IF(S50="",Listas!$I$1-B50,S50-B50)</f>
        <v>11</v>
      </c>
    </row>
    <row r="51" spans="1:21" x14ac:dyDescent="0.3">
      <c r="A51" s="8" t="s">
        <v>352</v>
      </c>
      <c r="B51" s="9">
        <v>45070</v>
      </c>
      <c r="C51" s="8" t="s">
        <v>353</v>
      </c>
      <c r="D51" s="8" t="s">
        <v>354</v>
      </c>
      <c r="E51" s="8" t="s">
        <v>56</v>
      </c>
      <c r="F51" s="8" t="s">
        <v>355</v>
      </c>
      <c r="G51" s="8" t="s">
        <v>74</v>
      </c>
      <c r="H51" s="8" t="s">
        <v>75</v>
      </c>
      <c r="I51" s="8" t="s">
        <v>356</v>
      </c>
      <c r="J51" s="8" t="s">
        <v>61</v>
      </c>
      <c r="K51" s="8" t="s">
        <v>112</v>
      </c>
      <c r="L51" s="8" t="s">
        <v>102</v>
      </c>
      <c r="M51" s="8" t="s">
        <v>64</v>
      </c>
      <c r="N51" s="8" t="s">
        <v>65</v>
      </c>
      <c r="O51" s="8" t="s">
        <v>66</v>
      </c>
      <c r="P51" s="8" t="s">
        <v>67</v>
      </c>
      <c r="Q51" s="8" t="s">
        <v>68</v>
      </c>
      <c r="R51" s="9">
        <v>45074</v>
      </c>
      <c r="S51" s="9">
        <v>45076</v>
      </c>
      <c r="T51" s="8" t="str">
        <f t="shared" si="0"/>
        <v>Cerrado</v>
      </c>
      <c r="U51" s="10">
        <f>IF(S51="",Listas!$I$1-B51,S51-B51)</f>
        <v>6</v>
      </c>
    </row>
    <row r="52" spans="1:21" x14ac:dyDescent="0.3">
      <c r="A52" s="8" t="s">
        <v>357</v>
      </c>
      <c r="B52" s="9">
        <v>45073</v>
      </c>
      <c r="C52" s="8" t="s">
        <v>358</v>
      </c>
      <c r="D52" s="8" t="s">
        <v>359</v>
      </c>
      <c r="E52" s="8" t="s">
        <v>56</v>
      </c>
      <c r="F52" s="8" t="s">
        <v>360</v>
      </c>
      <c r="G52" s="8" t="s">
        <v>361</v>
      </c>
      <c r="H52" s="8" t="s">
        <v>362</v>
      </c>
      <c r="I52" s="8" t="s">
        <v>363</v>
      </c>
      <c r="J52" s="8" t="s">
        <v>77</v>
      </c>
      <c r="K52" s="8" t="s">
        <v>62</v>
      </c>
      <c r="L52" s="8" t="s">
        <v>102</v>
      </c>
      <c r="M52" s="8" t="s">
        <v>64</v>
      </c>
      <c r="N52" s="8" t="s">
        <v>135</v>
      </c>
      <c r="O52" s="8" t="s">
        <v>79</v>
      </c>
      <c r="P52" s="8" t="s">
        <v>80</v>
      </c>
      <c r="Q52" s="8" t="s">
        <v>81</v>
      </c>
      <c r="R52" s="9">
        <v>45074</v>
      </c>
      <c r="S52" s="9">
        <v>45088</v>
      </c>
      <c r="T52" s="8" t="str">
        <f t="shared" si="0"/>
        <v>Cerrado</v>
      </c>
      <c r="U52" s="10">
        <f>IF(S52="",Listas!$I$1-B52,S52-B52)</f>
        <v>15</v>
      </c>
    </row>
    <row r="53" spans="1:21" x14ac:dyDescent="0.3">
      <c r="A53" s="8" t="s">
        <v>364</v>
      </c>
      <c r="B53" s="9">
        <v>45074</v>
      </c>
      <c r="C53" s="8" t="s">
        <v>365</v>
      </c>
      <c r="D53" s="8" t="s">
        <v>366</v>
      </c>
      <c r="E53" s="8" t="s">
        <v>72</v>
      </c>
      <c r="F53" s="8" t="s">
        <v>367</v>
      </c>
      <c r="G53" s="8" t="s">
        <v>368</v>
      </c>
      <c r="H53" s="8" t="s">
        <v>369</v>
      </c>
      <c r="I53" s="8" t="s">
        <v>370</v>
      </c>
      <c r="J53" s="8" t="s">
        <v>89</v>
      </c>
      <c r="K53" s="8" t="s">
        <v>112</v>
      </c>
      <c r="L53" s="8" t="s">
        <v>78</v>
      </c>
      <c r="M53" s="8" t="s">
        <v>64</v>
      </c>
      <c r="N53" s="8" t="s">
        <v>135</v>
      </c>
      <c r="O53" s="8" t="s">
        <v>91</v>
      </c>
      <c r="P53" s="8" t="s">
        <v>92</v>
      </c>
      <c r="Q53" s="8" t="s">
        <v>81</v>
      </c>
      <c r="R53" s="9">
        <v>45074</v>
      </c>
      <c r="S53" s="9">
        <v>45091</v>
      </c>
      <c r="T53" s="8" t="str">
        <f t="shared" si="0"/>
        <v>Cerrado</v>
      </c>
      <c r="U53" s="10">
        <f>IF(S53="",Listas!$I$1-B53,S53-B53)</f>
        <v>17</v>
      </c>
    </row>
    <row r="54" spans="1:21" x14ac:dyDescent="0.3">
      <c r="A54" s="8" t="s">
        <v>371</v>
      </c>
      <c r="B54" s="9">
        <v>45072</v>
      </c>
      <c r="C54" s="8" t="s">
        <v>372</v>
      </c>
      <c r="D54" s="8" t="s">
        <v>373</v>
      </c>
      <c r="E54" s="8" t="s">
        <v>125</v>
      </c>
      <c r="F54" s="8" t="s">
        <v>374</v>
      </c>
      <c r="G54" s="8" t="s">
        <v>86</v>
      </c>
      <c r="H54" s="8" t="s">
        <v>87</v>
      </c>
      <c r="I54" s="8" t="s">
        <v>375</v>
      </c>
      <c r="J54" s="8" t="s">
        <v>139</v>
      </c>
      <c r="K54" s="8" t="s">
        <v>112</v>
      </c>
      <c r="L54" s="8" t="s">
        <v>78</v>
      </c>
      <c r="M54" s="8" t="s">
        <v>64</v>
      </c>
      <c r="N54" s="8" t="s">
        <v>135</v>
      </c>
      <c r="O54" s="8" t="s">
        <v>140</v>
      </c>
      <c r="P54" s="8" t="s">
        <v>141</v>
      </c>
      <c r="Q54" s="8" t="s">
        <v>68</v>
      </c>
      <c r="R54" s="9">
        <v>45074</v>
      </c>
      <c r="S54" s="9">
        <v>45081</v>
      </c>
      <c r="T54" s="8" t="str">
        <f t="shared" si="0"/>
        <v>Cerrado</v>
      </c>
      <c r="U54" s="10">
        <f>IF(S54="",Listas!$I$1-B54,S54-B54)</f>
        <v>9</v>
      </c>
    </row>
    <row r="55" spans="1:21" x14ac:dyDescent="0.3">
      <c r="A55" s="8" t="s">
        <v>376</v>
      </c>
      <c r="B55" s="9">
        <v>45075</v>
      </c>
      <c r="C55" s="8" t="s">
        <v>323</v>
      </c>
      <c r="D55" s="8" t="s">
        <v>324</v>
      </c>
      <c r="E55" s="8" t="s">
        <v>125</v>
      </c>
      <c r="F55" s="8" t="s">
        <v>377</v>
      </c>
      <c r="G55" s="8" t="s">
        <v>230</v>
      </c>
      <c r="H55" s="8" t="s">
        <v>231</v>
      </c>
      <c r="I55" s="8" t="s">
        <v>378</v>
      </c>
      <c r="J55" s="8" t="s">
        <v>139</v>
      </c>
      <c r="K55" s="8" t="s">
        <v>112</v>
      </c>
      <c r="L55" s="8" t="s">
        <v>102</v>
      </c>
      <c r="M55" s="8" t="s">
        <v>64</v>
      </c>
      <c r="N55" s="8" t="s">
        <v>65</v>
      </c>
      <c r="O55" s="8" t="s">
        <v>140</v>
      </c>
      <c r="P55" s="8" t="s">
        <v>141</v>
      </c>
      <c r="Q55" s="8" t="s">
        <v>68</v>
      </c>
      <c r="R55" s="9">
        <v>45077</v>
      </c>
      <c r="S55" s="9">
        <v>45088</v>
      </c>
      <c r="T55" s="8" t="str">
        <f t="shared" si="0"/>
        <v>Cerrado</v>
      </c>
      <c r="U55" s="10">
        <f>IF(S55="",Listas!$I$1-B55,S55-B55)</f>
        <v>13</v>
      </c>
    </row>
    <row r="56" spans="1:21" x14ac:dyDescent="0.3">
      <c r="A56" s="8" t="s">
        <v>379</v>
      </c>
      <c r="B56" s="9">
        <v>45079</v>
      </c>
      <c r="C56" s="8" t="s">
        <v>276</v>
      </c>
      <c r="D56" s="8" t="s">
        <v>277</v>
      </c>
      <c r="E56" s="8" t="s">
        <v>72</v>
      </c>
      <c r="F56" s="8" t="s">
        <v>380</v>
      </c>
      <c r="G56" s="8" t="s">
        <v>204</v>
      </c>
      <c r="H56" s="8" t="s">
        <v>205</v>
      </c>
      <c r="I56" s="8" t="s">
        <v>381</v>
      </c>
      <c r="J56" s="8" t="s">
        <v>77</v>
      </c>
      <c r="K56" s="8" t="s">
        <v>62</v>
      </c>
      <c r="L56" s="8" t="s">
        <v>78</v>
      </c>
      <c r="M56" s="8" t="s">
        <v>64</v>
      </c>
      <c r="N56" s="8" t="s">
        <v>135</v>
      </c>
      <c r="O56" s="8" t="s">
        <v>79</v>
      </c>
      <c r="P56" s="8" t="s">
        <v>80</v>
      </c>
      <c r="Q56" s="8" t="s">
        <v>81</v>
      </c>
      <c r="R56" s="9">
        <v>45080</v>
      </c>
      <c r="S56" s="9">
        <v>45090</v>
      </c>
      <c r="T56" s="8" t="str">
        <f t="shared" si="0"/>
        <v>Cerrado</v>
      </c>
      <c r="U56" s="10">
        <f>IF(S56="",Listas!$I$1-B56,S56-B56)</f>
        <v>11</v>
      </c>
    </row>
    <row r="57" spans="1:21" x14ac:dyDescent="0.3">
      <c r="A57" s="8" t="s">
        <v>382</v>
      </c>
      <c r="B57" s="9">
        <v>45084</v>
      </c>
      <c r="C57" s="8" t="s">
        <v>143</v>
      </c>
      <c r="D57" s="8" t="s">
        <v>144</v>
      </c>
      <c r="E57" s="8" t="s">
        <v>72</v>
      </c>
      <c r="F57" s="8" t="s">
        <v>383</v>
      </c>
      <c r="G57" s="8" t="s">
        <v>58</v>
      </c>
      <c r="H57" s="8" t="s">
        <v>59</v>
      </c>
      <c r="I57" s="8" t="s">
        <v>384</v>
      </c>
      <c r="J57" s="8" t="s">
        <v>178</v>
      </c>
      <c r="K57" s="8" t="s">
        <v>90</v>
      </c>
      <c r="L57" s="8" t="s">
        <v>121</v>
      </c>
      <c r="M57" s="8" t="s">
        <v>64</v>
      </c>
      <c r="N57" s="8" t="s">
        <v>65</v>
      </c>
      <c r="O57" s="8" t="s">
        <v>179</v>
      </c>
      <c r="P57" s="8" t="s">
        <v>180</v>
      </c>
      <c r="Q57" s="8" t="s">
        <v>150</v>
      </c>
      <c r="R57" s="9">
        <v>45084</v>
      </c>
      <c r="S57" s="9">
        <v>45093</v>
      </c>
      <c r="T57" s="8" t="str">
        <f t="shared" si="0"/>
        <v>Cerrado</v>
      </c>
      <c r="U57" s="10">
        <f>IF(S57="",Listas!$I$1-B57,S57-B57)</f>
        <v>9</v>
      </c>
    </row>
    <row r="58" spans="1:21" x14ac:dyDescent="0.3">
      <c r="A58" s="8" t="s">
        <v>385</v>
      </c>
      <c r="B58" s="9">
        <v>45087</v>
      </c>
      <c r="C58" s="8" t="s">
        <v>386</v>
      </c>
      <c r="D58" s="8" t="s">
        <v>387</v>
      </c>
      <c r="E58" s="8" t="s">
        <v>116</v>
      </c>
      <c r="F58" s="8" t="s">
        <v>388</v>
      </c>
      <c r="G58" s="8" t="s">
        <v>98</v>
      </c>
      <c r="H58" s="8" t="s">
        <v>99</v>
      </c>
      <c r="I58" s="8" t="s">
        <v>389</v>
      </c>
      <c r="J58" s="8" t="s">
        <v>101</v>
      </c>
      <c r="K58" s="8" t="s">
        <v>90</v>
      </c>
      <c r="L58" s="8" t="s">
        <v>102</v>
      </c>
      <c r="M58" s="8" t="s">
        <v>64</v>
      </c>
      <c r="N58" s="8" t="s">
        <v>65</v>
      </c>
      <c r="O58" s="8" t="s">
        <v>103</v>
      </c>
      <c r="P58" s="8" t="s">
        <v>104</v>
      </c>
      <c r="Q58" s="8" t="s">
        <v>68</v>
      </c>
      <c r="R58" s="9">
        <v>45090</v>
      </c>
      <c r="S58" s="9">
        <v>45098</v>
      </c>
      <c r="T58" s="8" t="str">
        <f t="shared" si="0"/>
        <v>Cerrado</v>
      </c>
      <c r="U58" s="10">
        <f>IF(S58="",Listas!$I$1-B58,S58-B58)</f>
        <v>11</v>
      </c>
    </row>
    <row r="59" spans="1:21" x14ac:dyDescent="0.3">
      <c r="A59" s="8" t="s">
        <v>390</v>
      </c>
      <c r="B59" s="9">
        <v>45090</v>
      </c>
      <c r="C59" s="8" t="s">
        <v>234</v>
      </c>
      <c r="D59" s="8" t="s">
        <v>235</v>
      </c>
      <c r="E59" s="8" t="s">
        <v>116</v>
      </c>
      <c r="F59" s="8" t="s">
        <v>391</v>
      </c>
      <c r="G59" s="8" t="s">
        <v>392</v>
      </c>
      <c r="H59" s="8" t="s">
        <v>393</v>
      </c>
      <c r="I59" s="8" t="s">
        <v>394</v>
      </c>
      <c r="J59" s="8" t="s">
        <v>139</v>
      </c>
      <c r="K59" s="8" t="s">
        <v>90</v>
      </c>
      <c r="L59" s="8" t="s">
        <v>78</v>
      </c>
      <c r="M59" s="8" t="s">
        <v>64</v>
      </c>
      <c r="N59" s="8" t="s">
        <v>135</v>
      </c>
      <c r="O59" s="8" t="s">
        <v>140</v>
      </c>
      <c r="P59" s="8" t="s">
        <v>141</v>
      </c>
      <c r="Q59" s="8" t="s">
        <v>68</v>
      </c>
      <c r="R59" s="9">
        <v>45093</v>
      </c>
      <c r="S59" s="9">
        <v>45100</v>
      </c>
      <c r="T59" s="8" t="str">
        <f t="shared" si="0"/>
        <v>Cerrado</v>
      </c>
      <c r="U59" s="10">
        <f>IF(S59="",Listas!$I$1-B59,S59-B59)</f>
        <v>10</v>
      </c>
    </row>
    <row r="60" spans="1:21" x14ac:dyDescent="0.3">
      <c r="A60" s="8" t="s">
        <v>395</v>
      </c>
      <c r="B60" s="9">
        <v>45091</v>
      </c>
      <c r="C60" s="8" t="s">
        <v>152</v>
      </c>
      <c r="D60" s="8" t="s">
        <v>153</v>
      </c>
      <c r="E60" s="8" t="s">
        <v>125</v>
      </c>
      <c r="F60" s="8" t="s">
        <v>396</v>
      </c>
      <c r="G60" s="8" t="s">
        <v>160</v>
      </c>
      <c r="H60" s="8" t="s">
        <v>161</v>
      </c>
      <c r="I60" s="8" t="s">
        <v>397</v>
      </c>
      <c r="J60" s="8" t="s">
        <v>89</v>
      </c>
      <c r="K60" s="8" t="s">
        <v>90</v>
      </c>
      <c r="L60" s="8" t="s">
        <v>63</v>
      </c>
      <c r="M60" s="8" t="s">
        <v>64</v>
      </c>
      <c r="N60" s="8" t="s">
        <v>135</v>
      </c>
      <c r="O60" s="8" t="s">
        <v>91</v>
      </c>
      <c r="P60" s="8" t="s">
        <v>92</v>
      </c>
      <c r="Q60" s="8" t="s">
        <v>81</v>
      </c>
      <c r="R60" s="9">
        <v>45093</v>
      </c>
      <c r="S60" s="9">
        <v>45112</v>
      </c>
      <c r="T60" s="8" t="str">
        <f t="shared" si="0"/>
        <v>Cerrado</v>
      </c>
      <c r="U60" s="10">
        <f>IF(S60="",Listas!$I$1-B60,S60-B60)</f>
        <v>21</v>
      </c>
    </row>
    <row r="61" spans="1:21" x14ac:dyDescent="0.3">
      <c r="A61" s="8" t="s">
        <v>398</v>
      </c>
      <c r="B61" s="9">
        <v>45091</v>
      </c>
      <c r="C61" s="8" t="s">
        <v>399</v>
      </c>
      <c r="D61" s="8" t="s">
        <v>400</v>
      </c>
      <c r="E61" s="8" t="s">
        <v>72</v>
      </c>
      <c r="F61" s="8" t="s">
        <v>401</v>
      </c>
      <c r="G61" s="8" t="s">
        <v>223</v>
      </c>
      <c r="H61" s="8" t="s">
        <v>224</v>
      </c>
      <c r="I61" s="8" t="s">
        <v>402</v>
      </c>
      <c r="J61" s="8" t="s">
        <v>89</v>
      </c>
      <c r="K61" s="8" t="s">
        <v>62</v>
      </c>
      <c r="L61" s="8" t="s">
        <v>121</v>
      </c>
      <c r="M61" s="8" t="s">
        <v>64</v>
      </c>
      <c r="N61" s="8" t="s">
        <v>65</v>
      </c>
      <c r="O61" s="8" t="s">
        <v>91</v>
      </c>
      <c r="P61" s="8" t="s">
        <v>92</v>
      </c>
      <c r="Q61" s="8" t="s">
        <v>81</v>
      </c>
      <c r="R61" s="9">
        <v>45092</v>
      </c>
      <c r="S61" s="9">
        <v>45102</v>
      </c>
      <c r="T61" s="8" t="str">
        <f t="shared" si="0"/>
        <v>Cerrado</v>
      </c>
      <c r="U61" s="10">
        <f>IF(S61="",Listas!$I$1-B61,S61-B61)</f>
        <v>11</v>
      </c>
    </row>
    <row r="62" spans="1:21" x14ac:dyDescent="0.3">
      <c r="A62" s="8" t="s">
        <v>403</v>
      </c>
      <c r="B62" s="9">
        <v>45097</v>
      </c>
      <c r="C62" s="8" t="s">
        <v>404</v>
      </c>
      <c r="D62" s="8" t="s">
        <v>405</v>
      </c>
      <c r="E62" s="8" t="s">
        <v>96</v>
      </c>
      <c r="F62" s="8" t="s">
        <v>406</v>
      </c>
      <c r="G62" s="8" t="s">
        <v>334</v>
      </c>
      <c r="H62" s="8" t="s">
        <v>335</v>
      </c>
      <c r="I62" s="8" t="s">
        <v>407</v>
      </c>
      <c r="J62" s="8" t="s">
        <v>178</v>
      </c>
      <c r="K62" s="8" t="s">
        <v>62</v>
      </c>
      <c r="L62" s="8" t="s">
        <v>102</v>
      </c>
      <c r="M62" s="8" t="s">
        <v>64</v>
      </c>
      <c r="N62" s="8" t="s">
        <v>135</v>
      </c>
      <c r="O62" s="8" t="s">
        <v>179</v>
      </c>
      <c r="P62" s="8" t="s">
        <v>180</v>
      </c>
      <c r="Q62" s="8" t="s">
        <v>150</v>
      </c>
      <c r="R62" s="9">
        <v>45100</v>
      </c>
      <c r="S62" s="9">
        <v>45106</v>
      </c>
      <c r="T62" s="8" t="str">
        <f t="shared" si="0"/>
        <v>Cerrado</v>
      </c>
      <c r="U62" s="10">
        <f>IF(S62="",Listas!$I$1-B62,S62-B62)</f>
        <v>9</v>
      </c>
    </row>
    <row r="63" spans="1:21" x14ac:dyDescent="0.3">
      <c r="A63" s="8" t="s">
        <v>408</v>
      </c>
      <c r="B63" s="9">
        <v>45103</v>
      </c>
      <c r="C63" s="8" t="s">
        <v>409</v>
      </c>
      <c r="D63" s="8" t="s">
        <v>410</v>
      </c>
      <c r="E63" s="8" t="s">
        <v>125</v>
      </c>
      <c r="F63" s="8" t="s">
        <v>411</v>
      </c>
      <c r="G63" s="8" t="s">
        <v>392</v>
      </c>
      <c r="H63" s="8" t="s">
        <v>393</v>
      </c>
      <c r="I63" s="8" t="s">
        <v>412</v>
      </c>
      <c r="J63" s="8" t="s">
        <v>61</v>
      </c>
      <c r="K63" s="8" t="s">
        <v>90</v>
      </c>
      <c r="L63" s="8" t="s">
        <v>78</v>
      </c>
      <c r="M63" s="8" t="s">
        <v>64</v>
      </c>
      <c r="N63" s="8" t="s">
        <v>135</v>
      </c>
      <c r="O63" s="8" t="s">
        <v>66</v>
      </c>
      <c r="P63" s="8" t="s">
        <v>67</v>
      </c>
      <c r="Q63" s="8" t="s">
        <v>68</v>
      </c>
      <c r="R63" s="9">
        <v>45104</v>
      </c>
      <c r="S63" s="9">
        <v>45125</v>
      </c>
      <c r="T63" s="8" t="str">
        <f t="shared" si="0"/>
        <v>Cerrado</v>
      </c>
      <c r="U63" s="10">
        <f>IF(S63="",Listas!$I$1-B63,S63-B63)</f>
        <v>22</v>
      </c>
    </row>
    <row r="64" spans="1:21" x14ac:dyDescent="0.3">
      <c r="A64" s="8" t="s">
        <v>413</v>
      </c>
      <c r="B64" s="9">
        <v>45102</v>
      </c>
      <c r="C64" s="8" t="s">
        <v>348</v>
      </c>
      <c r="D64" s="8" t="s">
        <v>349</v>
      </c>
      <c r="E64" s="8" t="s">
        <v>125</v>
      </c>
      <c r="F64" s="8" t="s">
        <v>414</v>
      </c>
      <c r="G64" s="8" t="s">
        <v>86</v>
      </c>
      <c r="H64" s="8" t="s">
        <v>87</v>
      </c>
      <c r="I64" s="8" t="s">
        <v>415</v>
      </c>
      <c r="J64" s="8" t="s">
        <v>139</v>
      </c>
      <c r="K64" s="8" t="s">
        <v>90</v>
      </c>
      <c r="L64" s="8" t="s">
        <v>102</v>
      </c>
      <c r="M64" s="8" t="s">
        <v>64</v>
      </c>
      <c r="N64" s="8" t="s">
        <v>65</v>
      </c>
      <c r="O64" s="8" t="s">
        <v>140</v>
      </c>
      <c r="P64" s="8" t="s">
        <v>141</v>
      </c>
      <c r="Q64" s="8" t="s">
        <v>68</v>
      </c>
      <c r="R64" s="9">
        <v>45105</v>
      </c>
      <c r="S64" s="9">
        <v>45113</v>
      </c>
      <c r="T64" s="8" t="str">
        <f t="shared" si="0"/>
        <v>Cerrado</v>
      </c>
      <c r="U64" s="10">
        <f>IF(S64="",Listas!$I$1-B64,S64-B64)</f>
        <v>11</v>
      </c>
    </row>
    <row r="65" spans="1:21" x14ac:dyDescent="0.3">
      <c r="A65" s="8" t="s">
        <v>416</v>
      </c>
      <c r="B65" s="9">
        <v>45108</v>
      </c>
      <c r="C65" s="8" t="s">
        <v>261</v>
      </c>
      <c r="D65" s="8" t="s">
        <v>262</v>
      </c>
      <c r="E65" s="8" t="s">
        <v>56</v>
      </c>
      <c r="F65" s="8" t="s">
        <v>417</v>
      </c>
      <c r="G65" s="8" t="s">
        <v>418</v>
      </c>
      <c r="H65" s="8" t="s">
        <v>419</v>
      </c>
      <c r="I65" s="8" t="s">
        <v>420</v>
      </c>
      <c r="J65" s="8" t="s">
        <v>89</v>
      </c>
      <c r="K65" s="8" t="s">
        <v>90</v>
      </c>
      <c r="L65" s="8" t="s">
        <v>78</v>
      </c>
      <c r="M65" s="8" t="s">
        <v>64</v>
      </c>
      <c r="N65" s="8" t="s">
        <v>65</v>
      </c>
      <c r="O65" s="8" t="s">
        <v>91</v>
      </c>
      <c r="P65" s="8" t="s">
        <v>92</v>
      </c>
      <c r="Q65" s="8" t="s">
        <v>81</v>
      </c>
      <c r="R65" s="9">
        <v>45108</v>
      </c>
      <c r="S65" s="9">
        <v>45123</v>
      </c>
      <c r="T65" s="8" t="str">
        <f t="shared" si="0"/>
        <v>Cerrado</v>
      </c>
      <c r="U65" s="10">
        <f>IF(S65="",Listas!$I$1-B65,S65-B65)</f>
        <v>15</v>
      </c>
    </row>
    <row r="66" spans="1:21" x14ac:dyDescent="0.3">
      <c r="A66" s="8" t="s">
        <v>421</v>
      </c>
      <c r="B66" s="9">
        <v>45107</v>
      </c>
      <c r="C66" s="8" t="s">
        <v>422</v>
      </c>
      <c r="D66" s="8" t="s">
        <v>423</v>
      </c>
      <c r="E66" s="8" t="s">
        <v>72</v>
      </c>
      <c r="F66" s="8" t="s">
        <v>424</v>
      </c>
      <c r="G66" s="8" t="s">
        <v>175</v>
      </c>
      <c r="H66" s="8" t="s">
        <v>176</v>
      </c>
      <c r="I66" s="8" t="s">
        <v>425</v>
      </c>
      <c r="J66" s="8" t="s">
        <v>139</v>
      </c>
      <c r="K66" s="8" t="s">
        <v>90</v>
      </c>
      <c r="L66" s="8" t="s">
        <v>63</v>
      </c>
      <c r="M66" s="8" t="s">
        <v>64</v>
      </c>
      <c r="N66" s="8" t="s">
        <v>135</v>
      </c>
      <c r="O66" s="8" t="s">
        <v>140</v>
      </c>
      <c r="P66" s="8" t="s">
        <v>141</v>
      </c>
      <c r="Q66" s="8" t="s">
        <v>68</v>
      </c>
      <c r="R66" s="9">
        <v>45107</v>
      </c>
      <c r="S66" s="9">
        <v>45113</v>
      </c>
      <c r="T66" s="8" t="str">
        <f t="shared" ref="T66:T129" si="1">IF(S66="","En proceso","Cerrado")</f>
        <v>Cerrado</v>
      </c>
      <c r="U66" s="10">
        <f>IF(S66="",Listas!$I$1-B66,S66-B66)</f>
        <v>6</v>
      </c>
    </row>
    <row r="67" spans="1:21" x14ac:dyDescent="0.3">
      <c r="A67" s="8" t="s">
        <v>426</v>
      </c>
      <c r="B67" s="9">
        <v>45112</v>
      </c>
      <c r="C67" s="8" t="s">
        <v>246</v>
      </c>
      <c r="D67" s="8" t="s">
        <v>247</v>
      </c>
      <c r="E67" s="8" t="s">
        <v>125</v>
      </c>
      <c r="F67" s="8" t="s">
        <v>427</v>
      </c>
      <c r="G67" s="8" t="s">
        <v>86</v>
      </c>
      <c r="H67" s="8" t="s">
        <v>87</v>
      </c>
      <c r="I67" s="8" t="s">
        <v>428</v>
      </c>
      <c r="J67" s="8" t="s">
        <v>89</v>
      </c>
      <c r="K67" s="8" t="s">
        <v>90</v>
      </c>
      <c r="L67" s="8" t="s">
        <v>78</v>
      </c>
      <c r="M67" s="8" t="s">
        <v>64</v>
      </c>
      <c r="N67" s="8" t="s">
        <v>65</v>
      </c>
      <c r="O67" s="8" t="s">
        <v>91</v>
      </c>
      <c r="P67" s="8" t="s">
        <v>92</v>
      </c>
      <c r="Q67" s="8" t="s">
        <v>81</v>
      </c>
      <c r="R67" s="9">
        <v>45112</v>
      </c>
      <c r="S67" s="9">
        <v>45121</v>
      </c>
      <c r="T67" s="8" t="str">
        <f t="shared" si="1"/>
        <v>Cerrado</v>
      </c>
      <c r="U67" s="10">
        <f>IF(S67="",Listas!$I$1-B67,S67-B67)</f>
        <v>9</v>
      </c>
    </row>
    <row r="68" spans="1:21" x14ac:dyDescent="0.3">
      <c r="A68" s="8" t="s">
        <v>429</v>
      </c>
      <c r="B68" s="9">
        <v>45116</v>
      </c>
      <c r="C68" s="8" t="s">
        <v>157</v>
      </c>
      <c r="D68" s="8" t="s">
        <v>158</v>
      </c>
      <c r="E68" s="8" t="s">
        <v>116</v>
      </c>
      <c r="F68" s="8" t="s">
        <v>430</v>
      </c>
      <c r="G68" s="8" t="s">
        <v>127</v>
      </c>
      <c r="H68" s="8" t="s">
        <v>128</v>
      </c>
      <c r="I68" s="8" t="s">
        <v>431</v>
      </c>
      <c r="J68" s="8" t="s">
        <v>139</v>
      </c>
      <c r="K68" s="8" t="s">
        <v>62</v>
      </c>
      <c r="L68" s="8" t="s">
        <v>121</v>
      </c>
      <c r="M68" s="8" t="s">
        <v>64</v>
      </c>
      <c r="N68" s="8" t="s">
        <v>135</v>
      </c>
      <c r="O68" s="8" t="s">
        <v>140</v>
      </c>
      <c r="P68" s="8" t="s">
        <v>141</v>
      </c>
      <c r="Q68" s="8" t="s">
        <v>68</v>
      </c>
      <c r="R68" s="9">
        <v>45117</v>
      </c>
      <c r="S68" s="9">
        <v>45124</v>
      </c>
      <c r="T68" s="8" t="str">
        <f t="shared" si="1"/>
        <v>Cerrado</v>
      </c>
      <c r="U68" s="10">
        <f>IF(S68="",Listas!$I$1-B68,S68-B68)</f>
        <v>8</v>
      </c>
    </row>
    <row r="69" spans="1:21" x14ac:dyDescent="0.3">
      <c r="A69" s="8" t="s">
        <v>432</v>
      </c>
      <c r="B69" s="9">
        <v>45119</v>
      </c>
      <c r="C69" s="8" t="s">
        <v>123</v>
      </c>
      <c r="D69" s="8" t="s">
        <v>124</v>
      </c>
      <c r="E69" s="8" t="s">
        <v>125</v>
      </c>
      <c r="F69" s="8" t="s">
        <v>433</v>
      </c>
      <c r="G69" s="8" t="s">
        <v>230</v>
      </c>
      <c r="H69" s="8" t="s">
        <v>231</v>
      </c>
      <c r="I69" s="8" t="s">
        <v>434</v>
      </c>
      <c r="J69" s="8" t="s">
        <v>61</v>
      </c>
      <c r="K69" s="8" t="s">
        <v>112</v>
      </c>
      <c r="L69" s="8" t="s">
        <v>102</v>
      </c>
      <c r="M69" s="8" t="s">
        <v>64</v>
      </c>
      <c r="N69" s="8" t="s">
        <v>135</v>
      </c>
      <c r="O69" s="8" t="s">
        <v>66</v>
      </c>
      <c r="P69" s="8" t="s">
        <v>67</v>
      </c>
      <c r="Q69" s="8" t="s">
        <v>68</v>
      </c>
      <c r="R69" s="9">
        <v>45119</v>
      </c>
      <c r="S69" s="9">
        <v>45127</v>
      </c>
      <c r="T69" s="8" t="str">
        <f t="shared" si="1"/>
        <v>Cerrado</v>
      </c>
      <c r="U69" s="10">
        <f>IF(S69="",Listas!$I$1-B69,S69-B69)</f>
        <v>8</v>
      </c>
    </row>
    <row r="70" spans="1:21" x14ac:dyDescent="0.3">
      <c r="A70" s="8" t="s">
        <v>435</v>
      </c>
      <c r="B70" s="9">
        <v>45125</v>
      </c>
      <c r="C70" s="8" t="s">
        <v>358</v>
      </c>
      <c r="D70" s="8" t="s">
        <v>359</v>
      </c>
      <c r="E70" s="8" t="s">
        <v>56</v>
      </c>
      <c r="F70" s="8" t="s">
        <v>436</v>
      </c>
      <c r="G70" s="8" t="s">
        <v>334</v>
      </c>
      <c r="H70" s="8" t="s">
        <v>335</v>
      </c>
      <c r="I70" s="8" t="s">
        <v>437</v>
      </c>
      <c r="J70" s="8" t="s">
        <v>139</v>
      </c>
      <c r="K70" s="8" t="s">
        <v>112</v>
      </c>
      <c r="L70" s="8" t="s">
        <v>78</v>
      </c>
      <c r="M70" s="8" t="s">
        <v>64</v>
      </c>
      <c r="N70" s="8" t="s">
        <v>65</v>
      </c>
      <c r="O70" s="8" t="s">
        <v>140</v>
      </c>
      <c r="P70" s="8" t="s">
        <v>141</v>
      </c>
      <c r="Q70" s="8" t="s">
        <v>68</v>
      </c>
      <c r="R70" s="9">
        <v>45128</v>
      </c>
      <c r="S70" s="9">
        <v>45141</v>
      </c>
      <c r="T70" s="8" t="str">
        <f t="shared" si="1"/>
        <v>Cerrado</v>
      </c>
      <c r="U70" s="10">
        <f>IF(S70="",Listas!$I$1-B70,S70-B70)</f>
        <v>16</v>
      </c>
    </row>
    <row r="71" spans="1:21" x14ac:dyDescent="0.3">
      <c r="A71" s="8" t="s">
        <v>438</v>
      </c>
      <c r="B71" s="9">
        <v>45126</v>
      </c>
      <c r="C71" s="8" t="s">
        <v>182</v>
      </c>
      <c r="D71" s="8" t="s">
        <v>183</v>
      </c>
      <c r="E71" s="8" t="s">
        <v>72</v>
      </c>
      <c r="F71" s="8" t="s">
        <v>439</v>
      </c>
      <c r="G71" s="8" t="s">
        <v>308</v>
      </c>
      <c r="H71" s="8" t="s">
        <v>309</v>
      </c>
      <c r="I71" s="8" t="s">
        <v>440</v>
      </c>
      <c r="J71" s="8" t="s">
        <v>77</v>
      </c>
      <c r="K71" s="8" t="s">
        <v>62</v>
      </c>
      <c r="L71" s="8" t="s">
        <v>121</v>
      </c>
      <c r="M71" s="8" t="s">
        <v>64</v>
      </c>
      <c r="N71" s="8" t="s">
        <v>135</v>
      </c>
      <c r="O71" s="8" t="s">
        <v>79</v>
      </c>
      <c r="P71" s="8" t="s">
        <v>80</v>
      </c>
      <c r="Q71" s="8" t="s">
        <v>81</v>
      </c>
      <c r="R71" s="9">
        <v>45130</v>
      </c>
      <c r="S71" s="9">
        <v>45134</v>
      </c>
      <c r="T71" s="8" t="str">
        <f t="shared" si="1"/>
        <v>Cerrado</v>
      </c>
      <c r="U71" s="10">
        <f>IF(S71="",Listas!$I$1-B71,S71-B71)</f>
        <v>8</v>
      </c>
    </row>
    <row r="72" spans="1:21" x14ac:dyDescent="0.3">
      <c r="A72" s="8" t="s">
        <v>441</v>
      </c>
      <c r="B72" s="9">
        <v>45124</v>
      </c>
      <c r="C72" s="8" t="s">
        <v>208</v>
      </c>
      <c r="D72" s="8" t="s">
        <v>209</v>
      </c>
      <c r="E72" s="8" t="s">
        <v>116</v>
      </c>
      <c r="F72" s="8" t="s">
        <v>442</v>
      </c>
      <c r="G72" s="8" t="s">
        <v>361</v>
      </c>
      <c r="H72" s="8" t="s">
        <v>362</v>
      </c>
      <c r="I72" s="8" t="s">
        <v>443</v>
      </c>
      <c r="J72" s="8" t="s">
        <v>139</v>
      </c>
      <c r="K72" s="8" t="s">
        <v>62</v>
      </c>
      <c r="L72" s="8" t="s">
        <v>63</v>
      </c>
      <c r="M72" s="8" t="s">
        <v>64</v>
      </c>
      <c r="N72" s="8" t="s">
        <v>135</v>
      </c>
      <c r="O72" s="8" t="s">
        <v>140</v>
      </c>
      <c r="P72" s="8" t="s">
        <v>141</v>
      </c>
      <c r="Q72" s="8" t="s">
        <v>68</v>
      </c>
      <c r="R72" s="9">
        <v>45124</v>
      </c>
      <c r="S72" s="9">
        <v>45129</v>
      </c>
      <c r="T72" s="8" t="str">
        <f t="shared" si="1"/>
        <v>Cerrado</v>
      </c>
      <c r="U72" s="10">
        <f>IF(S72="",Listas!$I$1-B72,S72-B72)</f>
        <v>5</v>
      </c>
    </row>
    <row r="73" spans="1:21" x14ac:dyDescent="0.3">
      <c r="A73" s="8" t="s">
        <v>444</v>
      </c>
      <c r="B73" s="9">
        <v>45124</v>
      </c>
      <c r="C73" s="8" t="s">
        <v>348</v>
      </c>
      <c r="D73" s="8" t="s">
        <v>349</v>
      </c>
      <c r="E73" s="8" t="s">
        <v>125</v>
      </c>
      <c r="F73" s="8" t="s">
        <v>445</v>
      </c>
      <c r="G73" s="8" t="s">
        <v>334</v>
      </c>
      <c r="H73" s="8" t="s">
        <v>335</v>
      </c>
      <c r="I73" s="8" t="s">
        <v>446</v>
      </c>
      <c r="J73" s="8" t="s">
        <v>147</v>
      </c>
      <c r="K73" s="8" t="s">
        <v>112</v>
      </c>
      <c r="L73" s="8" t="s">
        <v>78</v>
      </c>
      <c r="M73" s="8" t="s">
        <v>64</v>
      </c>
      <c r="N73" s="8" t="s">
        <v>65</v>
      </c>
      <c r="O73" s="8" t="s">
        <v>148</v>
      </c>
      <c r="P73" s="8" t="s">
        <v>149</v>
      </c>
      <c r="Q73" s="8" t="s">
        <v>150</v>
      </c>
      <c r="R73" s="9">
        <v>45127</v>
      </c>
      <c r="S73" s="9">
        <v>45129</v>
      </c>
      <c r="T73" s="8" t="str">
        <f t="shared" si="1"/>
        <v>Cerrado</v>
      </c>
      <c r="U73" s="10">
        <f>IF(S73="",Listas!$I$1-B73,S73-B73)</f>
        <v>5</v>
      </c>
    </row>
    <row r="74" spans="1:21" x14ac:dyDescent="0.3">
      <c r="A74" s="8" t="s">
        <v>447</v>
      </c>
      <c r="B74" s="9">
        <v>45129</v>
      </c>
      <c r="C74" s="8" t="s">
        <v>256</v>
      </c>
      <c r="D74" s="8" t="s">
        <v>257</v>
      </c>
      <c r="E74" s="8" t="s">
        <v>72</v>
      </c>
      <c r="F74" s="8" t="s">
        <v>448</v>
      </c>
      <c r="G74" s="8" t="s">
        <v>449</v>
      </c>
      <c r="H74" s="8" t="s">
        <v>450</v>
      </c>
      <c r="I74" s="8" t="s">
        <v>451</v>
      </c>
      <c r="J74" s="8" t="s">
        <v>77</v>
      </c>
      <c r="K74" s="8" t="s">
        <v>62</v>
      </c>
      <c r="L74" s="8" t="s">
        <v>63</v>
      </c>
      <c r="M74" s="8" t="s">
        <v>64</v>
      </c>
      <c r="N74" s="8" t="s">
        <v>65</v>
      </c>
      <c r="O74" s="8" t="s">
        <v>79</v>
      </c>
      <c r="P74" s="8" t="s">
        <v>80</v>
      </c>
      <c r="Q74" s="8" t="s">
        <v>81</v>
      </c>
      <c r="R74" s="9">
        <v>45132</v>
      </c>
      <c r="S74" s="9">
        <v>45149</v>
      </c>
      <c r="T74" s="8" t="str">
        <f t="shared" si="1"/>
        <v>Cerrado</v>
      </c>
      <c r="U74" s="10">
        <f>IF(S74="",Listas!$I$1-B74,S74-B74)</f>
        <v>20</v>
      </c>
    </row>
    <row r="75" spans="1:21" x14ac:dyDescent="0.3">
      <c r="A75" s="8" t="s">
        <v>452</v>
      </c>
      <c r="B75" s="9">
        <v>45130</v>
      </c>
      <c r="C75" s="8" t="s">
        <v>348</v>
      </c>
      <c r="D75" s="8" t="s">
        <v>349</v>
      </c>
      <c r="E75" s="8" t="s">
        <v>125</v>
      </c>
      <c r="F75" s="8" t="s">
        <v>453</v>
      </c>
      <c r="G75" s="8" t="s">
        <v>242</v>
      </c>
      <c r="H75" s="8" t="s">
        <v>243</v>
      </c>
      <c r="I75" s="8" t="s">
        <v>454</v>
      </c>
      <c r="J75" s="8" t="s">
        <v>61</v>
      </c>
      <c r="K75" s="8" t="s">
        <v>90</v>
      </c>
      <c r="L75" s="8" t="s">
        <v>121</v>
      </c>
      <c r="M75" s="8" t="s">
        <v>64</v>
      </c>
      <c r="N75" s="8" t="s">
        <v>65</v>
      </c>
      <c r="O75" s="8" t="s">
        <v>66</v>
      </c>
      <c r="P75" s="8" t="s">
        <v>67</v>
      </c>
      <c r="Q75" s="8" t="s">
        <v>68</v>
      </c>
      <c r="R75" s="9">
        <v>45134</v>
      </c>
      <c r="S75" s="9">
        <v>45139</v>
      </c>
      <c r="T75" s="8" t="str">
        <f t="shared" si="1"/>
        <v>Cerrado</v>
      </c>
      <c r="U75" s="10">
        <f>IF(S75="",Listas!$I$1-B75,S75-B75)</f>
        <v>9</v>
      </c>
    </row>
    <row r="76" spans="1:21" x14ac:dyDescent="0.3">
      <c r="A76" s="8" t="s">
        <v>455</v>
      </c>
      <c r="B76" s="9">
        <v>45127</v>
      </c>
      <c r="C76" s="8" t="s">
        <v>456</v>
      </c>
      <c r="D76" s="8" t="s">
        <v>457</v>
      </c>
      <c r="E76" s="8" t="s">
        <v>116</v>
      </c>
      <c r="F76" s="8" t="s">
        <v>458</v>
      </c>
      <c r="G76" s="8" t="s">
        <v>459</v>
      </c>
      <c r="H76" s="8" t="s">
        <v>460</v>
      </c>
      <c r="I76" s="8" t="s">
        <v>461</v>
      </c>
      <c r="J76" s="8" t="s">
        <v>77</v>
      </c>
      <c r="K76" s="8" t="s">
        <v>112</v>
      </c>
      <c r="L76" s="8" t="s">
        <v>121</v>
      </c>
      <c r="M76" s="8" t="s">
        <v>64</v>
      </c>
      <c r="N76" s="8" t="s">
        <v>65</v>
      </c>
      <c r="O76" s="8" t="s">
        <v>79</v>
      </c>
      <c r="P76" s="8" t="s">
        <v>80</v>
      </c>
      <c r="Q76" s="8" t="s">
        <v>81</v>
      </c>
      <c r="R76" s="9">
        <v>45128</v>
      </c>
      <c r="S76" s="9">
        <v>45141</v>
      </c>
      <c r="T76" s="8" t="str">
        <f t="shared" si="1"/>
        <v>Cerrado</v>
      </c>
      <c r="U76" s="10">
        <f>IF(S76="",Listas!$I$1-B76,S76-B76)</f>
        <v>14</v>
      </c>
    </row>
    <row r="77" spans="1:21" x14ac:dyDescent="0.3">
      <c r="A77" s="8" t="s">
        <v>462</v>
      </c>
      <c r="B77" s="9">
        <v>45131</v>
      </c>
      <c r="C77" s="8" t="s">
        <v>463</v>
      </c>
      <c r="D77" s="8" t="s">
        <v>464</v>
      </c>
      <c r="E77" s="8" t="s">
        <v>72</v>
      </c>
      <c r="F77" s="8" t="s">
        <v>465</v>
      </c>
      <c r="G77" s="8" t="s">
        <v>466</v>
      </c>
      <c r="H77" s="8" t="s">
        <v>467</v>
      </c>
      <c r="I77" s="8" t="s">
        <v>468</v>
      </c>
      <c r="J77" s="8" t="s">
        <v>139</v>
      </c>
      <c r="K77" s="8" t="s">
        <v>90</v>
      </c>
      <c r="L77" s="8" t="s">
        <v>121</v>
      </c>
      <c r="M77" s="8" t="s">
        <v>64</v>
      </c>
      <c r="N77" s="8" t="s">
        <v>135</v>
      </c>
      <c r="O77" s="8" t="s">
        <v>140</v>
      </c>
      <c r="P77" s="8" t="s">
        <v>141</v>
      </c>
      <c r="Q77" s="8" t="s">
        <v>68</v>
      </c>
      <c r="R77" s="9">
        <v>45133</v>
      </c>
      <c r="S77" s="9">
        <v>45144</v>
      </c>
      <c r="T77" s="8" t="str">
        <f t="shared" si="1"/>
        <v>Cerrado</v>
      </c>
      <c r="U77" s="10">
        <f>IF(S77="",Listas!$I$1-B77,S77-B77)</f>
        <v>13</v>
      </c>
    </row>
    <row r="78" spans="1:21" x14ac:dyDescent="0.3">
      <c r="A78" s="8" t="s">
        <v>469</v>
      </c>
      <c r="B78" s="9">
        <v>45137</v>
      </c>
      <c r="C78" s="8" t="s">
        <v>470</v>
      </c>
      <c r="D78" s="8" t="s">
        <v>471</v>
      </c>
      <c r="E78" s="8" t="s">
        <v>125</v>
      </c>
      <c r="F78" s="8" t="s">
        <v>472</v>
      </c>
      <c r="G78" s="8" t="s">
        <v>418</v>
      </c>
      <c r="H78" s="8" t="s">
        <v>419</v>
      </c>
      <c r="I78" s="8" t="s">
        <v>473</v>
      </c>
      <c r="J78" s="8" t="s">
        <v>101</v>
      </c>
      <c r="K78" s="8" t="s">
        <v>112</v>
      </c>
      <c r="L78" s="8" t="s">
        <v>78</v>
      </c>
      <c r="M78" s="8" t="s">
        <v>64</v>
      </c>
      <c r="N78" s="8" t="s">
        <v>135</v>
      </c>
      <c r="O78" s="8" t="s">
        <v>103</v>
      </c>
      <c r="P78" s="8" t="s">
        <v>104</v>
      </c>
      <c r="Q78" s="8" t="s">
        <v>68</v>
      </c>
      <c r="R78" s="9">
        <v>45137</v>
      </c>
      <c r="S78" s="9">
        <v>45144</v>
      </c>
      <c r="T78" s="8" t="str">
        <f t="shared" si="1"/>
        <v>Cerrado</v>
      </c>
      <c r="U78" s="10">
        <f>IF(S78="",Listas!$I$1-B78,S78-B78)</f>
        <v>7</v>
      </c>
    </row>
    <row r="79" spans="1:21" x14ac:dyDescent="0.3">
      <c r="A79" s="8" t="s">
        <v>474</v>
      </c>
      <c r="B79" s="9">
        <v>45139</v>
      </c>
      <c r="C79" s="8" t="s">
        <v>182</v>
      </c>
      <c r="D79" s="8" t="s">
        <v>183</v>
      </c>
      <c r="E79" s="8" t="s">
        <v>72</v>
      </c>
      <c r="F79" s="8" t="s">
        <v>475</v>
      </c>
      <c r="G79" s="8" t="s">
        <v>197</v>
      </c>
      <c r="H79" s="8" t="s">
        <v>198</v>
      </c>
      <c r="I79" s="8" t="s">
        <v>476</v>
      </c>
      <c r="J79" s="8" t="s">
        <v>147</v>
      </c>
      <c r="K79" s="8" t="s">
        <v>130</v>
      </c>
      <c r="L79" s="8" t="s">
        <v>63</v>
      </c>
      <c r="M79" s="8" t="s">
        <v>64</v>
      </c>
      <c r="N79" s="8" t="s">
        <v>65</v>
      </c>
      <c r="O79" s="8" t="s">
        <v>148</v>
      </c>
      <c r="P79" s="8" t="s">
        <v>149</v>
      </c>
      <c r="Q79" s="8" t="s">
        <v>150</v>
      </c>
      <c r="R79" s="9">
        <v>45141</v>
      </c>
      <c r="S79" s="9">
        <v>45151</v>
      </c>
      <c r="T79" s="8" t="str">
        <f t="shared" si="1"/>
        <v>Cerrado</v>
      </c>
      <c r="U79" s="10">
        <f>IF(S79="",Listas!$I$1-B79,S79-B79)</f>
        <v>12</v>
      </c>
    </row>
    <row r="80" spans="1:21" x14ac:dyDescent="0.3">
      <c r="A80" s="8" t="s">
        <v>477</v>
      </c>
      <c r="B80" s="9">
        <v>45153</v>
      </c>
      <c r="C80" s="8" t="s">
        <v>246</v>
      </c>
      <c r="D80" s="8" t="s">
        <v>247</v>
      </c>
      <c r="E80" s="8" t="s">
        <v>125</v>
      </c>
      <c r="F80" s="8" t="s">
        <v>478</v>
      </c>
      <c r="G80" s="8" t="s">
        <v>160</v>
      </c>
      <c r="H80" s="8" t="s">
        <v>161</v>
      </c>
      <c r="I80" s="8" t="s">
        <v>479</v>
      </c>
      <c r="J80" s="8" t="s">
        <v>89</v>
      </c>
      <c r="K80" s="8" t="s">
        <v>62</v>
      </c>
      <c r="L80" s="8" t="s">
        <v>121</v>
      </c>
      <c r="M80" s="8" t="s">
        <v>64</v>
      </c>
      <c r="N80" s="8" t="s">
        <v>65</v>
      </c>
      <c r="O80" s="8" t="s">
        <v>91</v>
      </c>
      <c r="P80" s="8" t="s">
        <v>92</v>
      </c>
      <c r="Q80" s="8" t="s">
        <v>81</v>
      </c>
      <c r="R80" s="9">
        <v>45156</v>
      </c>
      <c r="S80" s="9">
        <v>45171</v>
      </c>
      <c r="T80" s="8" t="str">
        <f t="shared" si="1"/>
        <v>Cerrado</v>
      </c>
      <c r="U80" s="10">
        <f>IF(S80="",Listas!$I$1-B80,S80-B80)</f>
        <v>18</v>
      </c>
    </row>
    <row r="81" spans="1:21" x14ac:dyDescent="0.3">
      <c r="A81" s="8" t="s">
        <v>480</v>
      </c>
      <c r="B81" s="9">
        <v>45157</v>
      </c>
      <c r="C81" s="8" t="s">
        <v>152</v>
      </c>
      <c r="D81" s="8" t="s">
        <v>153</v>
      </c>
      <c r="E81" s="8" t="s">
        <v>125</v>
      </c>
      <c r="F81" s="8" t="s">
        <v>481</v>
      </c>
      <c r="G81" s="8" t="s">
        <v>392</v>
      </c>
      <c r="H81" s="8" t="s">
        <v>393</v>
      </c>
      <c r="I81" s="8" t="s">
        <v>482</v>
      </c>
      <c r="J81" s="8" t="s">
        <v>178</v>
      </c>
      <c r="K81" s="8" t="s">
        <v>90</v>
      </c>
      <c r="L81" s="8" t="s">
        <v>78</v>
      </c>
      <c r="M81" s="8" t="s">
        <v>64</v>
      </c>
      <c r="N81" s="8" t="s">
        <v>65</v>
      </c>
      <c r="O81" s="8" t="s">
        <v>179</v>
      </c>
      <c r="P81" s="8" t="s">
        <v>180</v>
      </c>
      <c r="Q81" s="8" t="s">
        <v>150</v>
      </c>
      <c r="R81" s="9">
        <v>45159</v>
      </c>
      <c r="S81" s="9">
        <v>45168</v>
      </c>
      <c r="T81" s="8" t="str">
        <f t="shared" si="1"/>
        <v>Cerrado</v>
      </c>
      <c r="U81" s="10">
        <f>IF(S81="",Listas!$I$1-B81,S81-B81)</f>
        <v>11</v>
      </c>
    </row>
    <row r="82" spans="1:21" x14ac:dyDescent="0.3">
      <c r="A82" s="8" t="s">
        <v>483</v>
      </c>
      <c r="B82" s="9">
        <v>45164</v>
      </c>
      <c r="C82" s="8" t="s">
        <v>246</v>
      </c>
      <c r="D82" s="8" t="s">
        <v>247</v>
      </c>
      <c r="E82" s="8" t="s">
        <v>125</v>
      </c>
      <c r="F82" s="8" t="s">
        <v>484</v>
      </c>
      <c r="G82" s="8" t="s">
        <v>334</v>
      </c>
      <c r="H82" s="8" t="s">
        <v>335</v>
      </c>
      <c r="I82" s="8" t="s">
        <v>485</v>
      </c>
      <c r="J82" s="8" t="s">
        <v>61</v>
      </c>
      <c r="K82" s="8" t="s">
        <v>90</v>
      </c>
      <c r="L82" s="8" t="s">
        <v>63</v>
      </c>
      <c r="M82" s="8" t="s">
        <v>64</v>
      </c>
      <c r="N82" s="8" t="s">
        <v>65</v>
      </c>
      <c r="O82" s="8" t="s">
        <v>66</v>
      </c>
      <c r="P82" s="8" t="s">
        <v>67</v>
      </c>
      <c r="Q82" s="8" t="s">
        <v>68</v>
      </c>
      <c r="R82" s="9">
        <v>45168</v>
      </c>
      <c r="S82" s="9">
        <v>45177</v>
      </c>
      <c r="T82" s="8" t="str">
        <f t="shared" si="1"/>
        <v>Cerrado</v>
      </c>
      <c r="U82" s="10">
        <f>IF(S82="",Listas!$I$1-B82,S82-B82)</f>
        <v>13</v>
      </c>
    </row>
    <row r="83" spans="1:21" x14ac:dyDescent="0.3">
      <c r="A83" s="8" t="s">
        <v>486</v>
      </c>
      <c r="B83" s="9">
        <v>45164</v>
      </c>
      <c r="C83" s="8" t="s">
        <v>487</v>
      </c>
      <c r="D83" s="8" t="s">
        <v>488</v>
      </c>
      <c r="E83" s="8" t="s">
        <v>72</v>
      </c>
      <c r="F83" s="8" t="s">
        <v>489</v>
      </c>
      <c r="G83" s="8" t="s">
        <v>58</v>
      </c>
      <c r="H83" s="8" t="s">
        <v>59</v>
      </c>
      <c r="I83" s="8" t="s">
        <v>490</v>
      </c>
      <c r="J83" s="8" t="s">
        <v>101</v>
      </c>
      <c r="K83" s="8" t="s">
        <v>90</v>
      </c>
      <c r="L83" s="8" t="s">
        <v>63</v>
      </c>
      <c r="M83" s="8" t="s">
        <v>64</v>
      </c>
      <c r="N83" s="8" t="s">
        <v>135</v>
      </c>
      <c r="O83" s="8" t="s">
        <v>103</v>
      </c>
      <c r="P83" s="8" t="s">
        <v>104</v>
      </c>
      <c r="Q83" s="8" t="s">
        <v>68</v>
      </c>
      <c r="R83" s="9">
        <v>45166</v>
      </c>
      <c r="S83" s="9">
        <v>45177</v>
      </c>
      <c r="T83" s="8" t="str">
        <f t="shared" si="1"/>
        <v>Cerrado</v>
      </c>
      <c r="U83" s="10">
        <f>IF(S83="",Listas!$I$1-B83,S83-B83)</f>
        <v>13</v>
      </c>
    </row>
    <row r="84" spans="1:21" x14ac:dyDescent="0.3">
      <c r="A84" s="8" t="s">
        <v>491</v>
      </c>
      <c r="B84" s="9">
        <v>45164</v>
      </c>
      <c r="C84" s="8" t="s">
        <v>386</v>
      </c>
      <c r="D84" s="8" t="s">
        <v>387</v>
      </c>
      <c r="E84" s="8" t="s">
        <v>116</v>
      </c>
      <c r="F84" s="8" t="s">
        <v>492</v>
      </c>
      <c r="G84" s="8" t="s">
        <v>334</v>
      </c>
      <c r="H84" s="8" t="s">
        <v>335</v>
      </c>
      <c r="I84" s="8" t="s">
        <v>493</v>
      </c>
      <c r="J84" s="8" t="s">
        <v>89</v>
      </c>
      <c r="K84" s="8" t="s">
        <v>62</v>
      </c>
      <c r="L84" s="8" t="s">
        <v>102</v>
      </c>
      <c r="M84" s="8" t="s">
        <v>64</v>
      </c>
      <c r="N84" s="8" t="s">
        <v>65</v>
      </c>
      <c r="O84" s="8" t="s">
        <v>91</v>
      </c>
      <c r="P84" s="8" t="s">
        <v>92</v>
      </c>
      <c r="Q84" s="8" t="s">
        <v>81</v>
      </c>
      <c r="R84" s="9">
        <v>45165</v>
      </c>
      <c r="S84" s="9">
        <v>45166</v>
      </c>
      <c r="T84" s="8" t="str">
        <f t="shared" si="1"/>
        <v>Cerrado</v>
      </c>
      <c r="U84" s="10">
        <f>IF(S84="",Listas!$I$1-B84,S84-B84)</f>
        <v>2</v>
      </c>
    </row>
    <row r="85" spans="1:21" x14ac:dyDescent="0.3">
      <c r="A85" s="8" t="s">
        <v>494</v>
      </c>
      <c r="B85" s="9">
        <v>45166</v>
      </c>
      <c r="C85" s="8" t="s">
        <v>341</v>
      </c>
      <c r="D85" s="8" t="s">
        <v>342</v>
      </c>
      <c r="E85" s="8" t="s">
        <v>125</v>
      </c>
      <c r="F85" s="8" t="s">
        <v>495</v>
      </c>
      <c r="G85" s="8" t="s">
        <v>308</v>
      </c>
      <c r="H85" s="8" t="s">
        <v>309</v>
      </c>
      <c r="I85" s="8" t="s">
        <v>496</v>
      </c>
      <c r="J85" s="8" t="s">
        <v>147</v>
      </c>
      <c r="K85" s="8" t="s">
        <v>90</v>
      </c>
      <c r="L85" s="8" t="s">
        <v>121</v>
      </c>
      <c r="M85" s="8" t="s">
        <v>64</v>
      </c>
      <c r="N85" s="8" t="s">
        <v>65</v>
      </c>
      <c r="O85" s="8" t="s">
        <v>148</v>
      </c>
      <c r="P85" s="8" t="s">
        <v>149</v>
      </c>
      <c r="Q85" s="8" t="s">
        <v>150</v>
      </c>
      <c r="R85" s="9">
        <v>45166</v>
      </c>
      <c r="S85" s="9">
        <v>45181</v>
      </c>
      <c r="T85" s="8" t="str">
        <f t="shared" si="1"/>
        <v>Cerrado</v>
      </c>
      <c r="U85" s="10">
        <f>IF(S85="",Listas!$I$1-B85,S85-B85)</f>
        <v>15</v>
      </c>
    </row>
    <row r="86" spans="1:21" x14ac:dyDescent="0.3">
      <c r="A86" s="8" t="s">
        <v>497</v>
      </c>
      <c r="B86" s="9">
        <v>45166</v>
      </c>
      <c r="C86" s="8" t="s">
        <v>498</v>
      </c>
      <c r="D86" s="8" t="s">
        <v>499</v>
      </c>
      <c r="E86" s="8" t="s">
        <v>96</v>
      </c>
      <c r="F86" s="8" t="s">
        <v>500</v>
      </c>
      <c r="G86" s="8" t="s">
        <v>86</v>
      </c>
      <c r="H86" s="8" t="s">
        <v>87</v>
      </c>
      <c r="I86" s="8" t="s">
        <v>501</v>
      </c>
      <c r="J86" s="8" t="s">
        <v>101</v>
      </c>
      <c r="K86" s="8" t="s">
        <v>62</v>
      </c>
      <c r="L86" s="8" t="s">
        <v>102</v>
      </c>
      <c r="M86" s="8" t="s">
        <v>64</v>
      </c>
      <c r="N86" s="8" t="s">
        <v>65</v>
      </c>
      <c r="O86" s="8" t="s">
        <v>103</v>
      </c>
      <c r="P86" s="8" t="s">
        <v>104</v>
      </c>
      <c r="Q86" s="8" t="s">
        <v>68</v>
      </c>
      <c r="R86" s="9">
        <v>45169</v>
      </c>
      <c r="S86" s="9">
        <v>45188</v>
      </c>
      <c r="T86" s="8" t="str">
        <f t="shared" si="1"/>
        <v>Cerrado</v>
      </c>
      <c r="U86" s="10">
        <f>IF(S86="",Listas!$I$1-B86,S86-B86)</f>
        <v>22</v>
      </c>
    </row>
    <row r="87" spans="1:21" x14ac:dyDescent="0.3">
      <c r="A87" s="8" t="s">
        <v>502</v>
      </c>
      <c r="B87" s="9">
        <v>45170</v>
      </c>
      <c r="C87" s="8" t="s">
        <v>215</v>
      </c>
      <c r="D87" s="8" t="s">
        <v>216</v>
      </c>
      <c r="E87" s="8" t="s">
        <v>72</v>
      </c>
      <c r="F87" s="8" t="s">
        <v>503</v>
      </c>
      <c r="G87" s="8" t="s">
        <v>167</v>
      </c>
      <c r="H87" s="8" t="s">
        <v>168</v>
      </c>
      <c r="I87" s="8" t="s">
        <v>504</v>
      </c>
      <c r="J87" s="8" t="s">
        <v>147</v>
      </c>
      <c r="K87" s="8" t="s">
        <v>112</v>
      </c>
      <c r="L87" s="8" t="s">
        <v>102</v>
      </c>
      <c r="M87" s="8" t="s">
        <v>64</v>
      </c>
      <c r="N87" s="8" t="s">
        <v>65</v>
      </c>
      <c r="O87" s="8" t="s">
        <v>148</v>
      </c>
      <c r="P87" s="8" t="s">
        <v>149</v>
      </c>
      <c r="Q87" s="8" t="s">
        <v>150</v>
      </c>
      <c r="R87" s="9">
        <v>45170</v>
      </c>
      <c r="S87" s="9">
        <v>45182</v>
      </c>
      <c r="T87" s="8" t="str">
        <f t="shared" si="1"/>
        <v>Cerrado</v>
      </c>
      <c r="U87" s="10">
        <f>IF(S87="",Listas!$I$1-B87,S87-B87)</f>
        <v>12</v>
      </c>
    </row>
    <row r="88" spans="1:21" x14ac:dyDescent="0.3">
      <c r="A88" s="8" t="s">
        <v>505</v>
      </c>
      <c r="B88" s="9">
        <v>45169</v>
      </c>
      <c r="C88" s="8" t="s">
        <v>227</v>
      </c>
      <c r="D88" s="8" t="s">
        <v>228</v>
      </c>
      <c r="E88" s="8" t="s">
        <v>72</v>
      </c>
      <c r="F88" s="8" t="s">
        <v>506</v>
      </c>
      <c r="G88" s="8" t="s">
        <v>74</v>
      </c>
      <c r="H88" s="8" t="s">
        <v>75</v>
      </c>
      <c r="I88" s="8" t="s">
        <v>507</v>
      </c>
      <c r="J88" s="8" t="s">
        <v>61</v>
      </c>
      <c r="K88" s="8" t="s">
        <v>90</v>
      </c>
      <c r="L88" s="8" t="s">
        <v>102</v>
      </c>
      <c r="M88" s="8" t="s">
        <v>64</v>
      </c>
      <c r="N88" s="8" t="s">
        <v>65</v>
      </c>
      <c r="O88" s="8" t="s">
        <v>66</v>
      </c>
      <c r="P88" s="8" t="s">
        <v>67</v>
      </c>
      <c r="Q88" s="8" t="s">
        <v>68</v>
      </c>
      <c r="R88" s="9">
        <v>45169</v>
      </c>
      <c r="S88" s="9">
        <v>45176</v>
      </c>
      <c r="T88" s="8" t="str">
        <f t="shared" si="1"/>
        <v>Cerrado</v>
      </c>
      <c r="U88" s="10">
        <f>IF(S88="",Listas!$I$1-B88,S88-B88)</f>
        <v>7</v>
      </c>
    </row>
    <row r="89" spans="1:21" x14ac:dyDescent="0.3">
      <c r="A89" s="8" t="s">
        <v>508</v>
      </c>
      <c r="B89" s="9">
        <v>45176</v>
      </c>
      <c r="C89" s="8" t="s">
        <v>470</v>
      </c>
      <c r="D89" s="8" t="s">
        <v>471</v>
      </c>
      <c r="E89" s="8" t="s">
        <v>125</v>
      </c>
      <c r="F89" s="8" t="s">
        <v>509</v>
      </c>
      <c r="G89" s="8" t="s">
        <v>223</v>
      </c>
      <c r="H89" s="8" t="s">
        <v>224</v>
      </c>
      <c r="I89" s="8" t="s">
        <v>510</v>
      </c>
      <c r="J89" s="8" t="s">
        <v>89</v>
      </c>
      <c r="K89" s="8" t="s">
        <v>90</v>
      </c>
      <c r="L89" s="8" t="s">
        <v>121</v>
      </c>
      <c r="M89" s="8" t="s">
        <v>64</v>
      </c>
      <c r="N89" s="8" t="s">
        <v>135</v>
      </c>
      <c r="O89" s="8" t="s">
        <v>91</v>
      </c>
      <c r="P89" s="8" t="s">
        <v>92</v>
      </c>
      <c r="Q89" s="8" t="s">
        <v>81</v>
      </c>
      <c r="R89" s="9">
        <v>45178</v>
      </c>
      <c r="S89" s="9">
        <v>45187</v>
      </c>
      <c r="T89" s="8" t="str">
        <f t="shared" si="1"/>
        <v>Cerrado</v>
      </c>
      <c r="U89" s="10">
        <f>IF(S89="",Listas!$I$1-B89,S89-B89)</f>
        <v>11</v>
      </c>
    </row>
    <row r="90" spans="1:21" x14ac:dyDescent="0.3">
      <c r="A90" s="8" t="s">
        <v>511</v>
      </c>
      <c r="B90" s="9">
        <v>45179</v>
      </c>
      <c r="C90" s="8" t="s">
        <v>487</v>
      </c>
      <c r="D90" s="8" t="s">
        <v>488</v>
      </c>
      <c r="E90" s="8" t="s">
        <v>72</v>
      </c>
      <c r="F90" s="8" t="s">
        <v>512</v>
      </c>
      <c r="G90" s="8" t="s">
        <v>334</v>
      </c>
      <c r="H90" s="8" t="s">
        <v>335</v>
      </c>
      <c r="I90" s="8" t="s">
        <v>513</v>
      </c>
      <c r="J90" s="8" t="s">
        <v>178</v>
      </c>
      <c r="K90" s="8" t="s">
        <v>62</v>
      </c>
      <c r="L90" s="8" t="s">
        <v>78</v>
      </c>
      <c r="M90" s="8" t="s">
        <v>64</v>
      </c>
      <c r="N90" s="8" t="s">
        <v>65</v>
      </c>
      <c r="O90" s="8" t="s">
        <v>179</v>
      </c>
      <c r="P90" s="8" t="s">
        <v>180</v>
      </c>
      <c r="Q90" s="8" t="s">
        <v>150</v>
      </c>
      <c r="R90" s="9">
        <v>45181</v>
      </c>
      <c r="S90" s="9">
        <v>45195</v>
      </c>
      <c r="T90" s="8" t="str">
        <f t="shared" si="1"/>
        <v>Cerrado</v>
      </c>
      <c r="U90" s="10">
        <f>IF(S90="",Listas!$I$1-B90,S90-B90)</f>
        <v>16</v>
      </c>
    </row>
    <row r="91" spans="1:21" x14ac:dyDescent="0.3">
      <c r="A91" s="8" t="s">
        <v>514</v>
      </c>
      <c r="B91" s="9">
        <v>45180</v>
      </c>
      <c r="C91" s="8" t="s">
        <v>515</v>
      </c>
      <c r="D91" s="8" t="s">
        <v>516</v>
      </c>
      <c r="E91" s="8" t="s">
        <v>125</v>
      </c>
      <c r="F91" s="8" t="s">
        <v>517</v>
      </c>
      <c r="G91" s="8" t="s">
        <v>127</v>
      </c>
      <c r="H91" s="8" t="s">
        <v>128</v>
      </c>
      <c r="I91" s="8" t="s">
        <v>518</v>
      </c>
      <c r="J91" s="8" t="s">
        <v>89</v>
      </c>
      <c r="K91" s="8" t="s">
        <v>62</v>
      </c>
      <c r="L91" s="8" t="s">
        <v>78</v>
      </c>
      <c r="M91" s="8" t="s">
        <v>64</v>
      </c>
      <c r="N91" s="8" t="s">
        <v>135</v>
      </c>
      <c r="O91" s="8" t="s">
        <v>91</v>
      </c>
      <c r="P91" s="8" t="s">
        <v>92</v>
      </c>
      <c r="Q91" s="8" t="s">
        <v>81</v>
      </c>
      <c r="R91" s="9">
        <v>45184</v>
      </c>
      <c r="S91" s="9">
        <v>45194</v>
      </c>
      <c r="T91" s="8" t="str">
        <f t="shared" si="1"/>
        <v>Cerrado</v>
      </c>
      <c r="U91" s="10">
        <f>IF(S91="",Listas!$I$1-B91,S91-B91)</f>
        <v>14</v>
      </c>
    </row>
    <row r="92" spans="1:21" x14ac:dyDescent="0.3">
      <c r="A92" s="8" t="s">
        <v>519</v>
      </c>
      <c r="B92" s="9">
        <v>45180</v>
      </c>
      <c r="C92" s="8" t="s">
        <v>358</v>
      </c>
      <c r="D92" s="8" t="s">
        <v>359</v>
      </c>
      <c r="E92" s="8" t="s">
        <v>56</v>
      </c>
      <c r="F92" s="8" t="s">
        <v>520</v>
      </c>
      <c r="G92" s="8" t="s">
        <v>361</v>
      </c>
      <c r="H92" s="8" t="s">
        <v>362</v>
      </c>
      <c r="I92" s="8" t="s">
        <v>521</v>
      </c>
      <c r="J92" s="8" t="s">
        <v>139</v>
      </c>
      <c r="K92" s="8" t="s">
        <v>90</v>
      </c>
      <c r="L92" s="8" t="s">
        <v>121</v>
      </c>
      <c r="M92" s="8" t="s">
        <v>64</v>
      </c>
      <c r="N92" s="8" t="s">
        <v>65</v>
      </c>
      <c r="O92" s="8" t="s">
        <v>140</v>
      </c>
      <c r="P92" s="8" t="s">
        <v>141</v>
      </c>
      <c r="Q92" s="8" t="s">
        <v>68</v>
      </c>
      <c r="R92" s="9">
        <v>45182</v>
      </c>
      <c r="S92" s="9">
        <v>45191</v>
      </c>
      <c r="T92" s="8" t="str">
        <f t="shared" si="1"/>
        <v>Cerrado</v>
      </c>
      <c r="U92" s="10">
        <f>IF(S92="",Listas!$I$1-B92,S92-B92)</f>
        <v>11</v>
      </c>
    </row>
    <row r="93" spans="1:21" x14ac:dyDescent="0.3">
      <c r="A93" s="8" t="s">
        <v>522</v>
      </c>
      <c r="B93" s="9">
        <v>45190</v>
      </c>
      <c r="C93" s="8" t="s">
        <v>323</v>
      </c>
      <c r="D93" s="8" t="s">
        <v>324</v>
      </c>
      <c r="E93" s="8" t="s">
        <v>125</v>
      </c>
      <c r="F93" s="8" t="s">
        <v>523</v>
      </c>
      <c r="G93" s="8" t="s">
        <v>361</v>
      </c>
      <c r="H93" s="8" t="s">
        <v>362</v>
      </c>
      <c r="I93" s="8" t="s">
        <v>524</v>
      </c>
      <c r="J93" s="8" t="s">
        <v>147</v>
      </c>
      <c r="K93" s="8" t="s">
        <v>90</v>
      </c>
      <c r="L93" s="8" t="s">
        <v>78</v>
      </c>
      <c r="M93" s="8" t="s">
        <v>64</v>
      </c>
      <c r="N93" s="8" t="s">
        <v>135</v>
      </c>
      <c r="O93" s="8" t="s">
        <v>148</v>
      </c>
      <c r="P93" s="8" t="s">
        <v>149</v>
      </c>
      <c r="Q93" s="8" t="s">
        <v>150</v>
      </c>
      <c r="R93" s="9">
        <v>45194</v>
      </c>
      <c r="S93" s="9">
        <v>45205</v>
      </c>
      <c r="T93" s="8" t="str">
        <f t="shared" si="1"/>
        <v>Cerrado</v>
      </c>
      <c r="U93" s="10">
        <f>IF(S93="",Listas!$I$1-B93,S93-B93)</f>
        <v>15</v>
      </c>
    </row>
    <row r="94" spans="1:21" x14ac:dyDescent="0.3">
      <c r="A94" s="8" t="s">
        <v>525</v>
      </c>
      <c r="B94" s="9">
        <v>45190</v>
      </c>
      <c r="C94" s="8" t="s">
        <v>348</v>
      </c>
      <c r="D94" s="8" t="s">
        <v>349</v>
      </c>
      <c r="E94" s="8" t="s">
        <v>125</v>
      </c>
      <c r="F94" s="8" t="s">
        <v>526</v>
      </c>
      <c r="G94" s="8" t="s">
        <v>204</v>
      </c>
      <c r="H94" s="8" t="s">
        <v>205</v>
      </c>
      <c r="I94" s="8" t="s">
        <v>527</v>
      </c>
      <c r="J94" s="8" t="s">
        <v>178</v>
      </c>
      <c r="K94" s="8" t="s">
        <v>90</v>
      </c>
      <c r="L94" s="8" t="s">
        <v>63</v>
      </c>
      <c r="M94" s="8" t="s">
        <v>64</v>
      </c>
      <c r="N94" s="8" t="s">
        <v>65</v>
      </c>
      <c r="O94" s="8" t="s">
        <v>179</v>
      </c>
      <c r="P94" s="8" t="s">
        <v>180</v>
      </c>
      <c r="Q94" s="8" t="s">
        <v>150</v>
      </c>
      <c r="R94" s="9">
        <v>45190</v>
      </c>
      <c r="S94" s="9">
        <v>45207</v>
      </c>
      <c r="T94" s="8" t="str">
        <f t="shared" si="1"/>
        <v>Cerrado</v>
      </c>
      <c r="U94" s="10">
        <f>IF(S94="",Listas!$I$1-B94,S94-B94)</f>
        <v>17</v>
      </c>
    </row>
    <row r="95" spans="1:21" x14ac:dyDescent="0.3">
      <c r="A95" s="8" t="s">
        <v>528</v>
      </c>
      <c r="B95" s="9">
        <v>45189</v>
      </c>
      <c r="C95" s="8" t="s">
        <v>194</v>
      </c>
      <c r="D95" s="8" t="s">
        <v>195</v>
      </c>
      <c r="E95" s="8" t="s">
        <v>125</v>
      </c>
      <c r="F95" s="8" t="s">
        <v>529</v>
      </c>
      <c r="G95" s="8" t="s">
        <v>368</v>
      </c>
      <c r="H95" s="8" t="s">
        <v>369</v>
      </c>
      <c r="I95" s="8" t="s">
        <v>527</v>
      </c>
      <c r="J95" s="8" t="s">
        <v>147</v>
      </c>
      <c r="K95" s="8" t="s">
        <v>112</v>
      </c>
      <c r="L95" s="8" t="s">
        <v>121</v>
      </c>
      <c r="M95" s="8" t="s">
        <v>64</v>
      </c>
      <c r="N95" s="8" t="s">
        <v>65</v>
      </c>
      <c r="O95" s="8" t="s">
        <v>148</v>
      </c>
      <c r="P95" s="8" t="s">
        <v>149</v>
      </c>
      <c r="Q95" s="8" t="s">
        <v>150</v>
      </c>
      <c r="R95" s="9">
        <v>45193</v>
      </c>
      <c r="S95" s="9">
        <v>45198</v>
      </c>
      <c r="T95" s="8" t="str">
        <f t="shared" si="1"/>
        <v>Cerrado</v>
      </c>
      <c r="U95" s="10">
        <f>IF(S95="",Listas!$I$1-B95,S95-B95)</f>
        <v>9</v>
      </c>
    </row>
    <row r="96" spans="1:21" x14ac:dyDescent="0.3">
      <c r="A96" s="8" t="s">
        <v>530</v>
      </c>
      <c r="B96" s="9">
        <v>45195</v>
      </c>
      <c r="C96" s="8" t="s">
        <v>409</v>
      </c>
      <c r="D96" s="8" t="s">
        <v>410</v>
      </c>
      <c r="E96" s="8" t="s">
        <v>125</v>
      </c>
      <c r="F96" s="8" t="s">
        <v>531</v>
      </c>
      <c r="G96" s="8" t="s">
        <v>361</v>
      </c>
      <c r="H96" s="8" t="s">
        <v>362</v>
      </c>
      <c r="I96" s="8" t="s">
        <v>532</v>
      </c>
      <c r="J96" s="8" t="s">
        <v>147</v>
      </c>
      <c r="K96" s="8" t="s">
        <v>62</v>
      </c>
      <c r="L96" s="8" t="s">
        <v>63</v>
      </c>
      <c r="M96" s="8" t="s">
        <v>64</v>
      </c>
      <c r="N96" s="8" t="s">
        <v>65</v>
      </c>
      <c r="O96" s="8" t="s">
        <v>148</v>
      </c>
      <c r="P96" s="8" t="s">
        <v>149</v>
      </c>
      <c r="Q96" s="8" t="s">
        <v>150</v>
      </c>
      <c r="R96" s="9">
        <v>45196</v>
      </c>
      <c r="S96" s="9">
        <v>45206</v>
      </c>
      <c r="T96" s="8" t="str">
        <f t="shared" si="1"/>
        <v>Cerrado</v>
      </c>
      <c r="U96" s="10">
        <f>IF(S96="",Listas!$I$1-B96,S96-B96)</f>
        <v>11</v>
      </c>
    </row>
    <row r="97" spans="1:21" x14ac:dyDescent="0.3">
      <c r="A97" s="8" t="s">
        <v>533</v>
      </c>
      <c r="B97" s="9">
        <v>45198</v>
      </c>
      <c r="C97" s="8" t="s">
        <v>331</v>
      </c>
      <c r="D97" s="8" t="s">
        <v>332</v>
      </c>
      <c r="E97" s="8" t="s">
        <v>72</v>
      </c>
      <c r="F97" s="8" t="s">
        <v>534</v>
      </c>
      <c r="G97" s="8" t="s">
        <v>361</v>
      </c>
      <c r="H97" s="8" t="s">
        <v>362</v>
      </c>
      <c r="I97" s="8" t="s">
        <v>532</v>
      </c>
      <c r="J97" s="8" t="s">
        <v>178</v>
      </c>
      <c r="K97" s="8" t="s">
        <v>90</v>
      </c>
      <c r="L97" s="8" t="s">
        <v>121</v>
      </c>
      <c r="M97" s="8" t="s">
        <v>64</v>
      </c>
      <c r="N97" s="8" t="s">
        <v>135</v>
      </c>
      <c r="O97" s="8" t="s">
        <v>179</v>
      </c>
      <c r="P97" s="8" t="s">
        <v>180</v>
      </c>
      <c r="Q97" s="8" t="s">
        <v>150</v>
      </c>
      <c r="R97" s="9">
        <v>45199</v>
      </c>
      <c r="S97" s="9">
        <v>45218</v>
      </c>
      <c r="T97" s="8" t="str">
        <f t="shared" si="1"/>
        <v>Cerrado</v>
      </c>
      <c r="U97" s="10">
        <f>IF(S97="",Listas!$I$1-B97,S97-B97)</f>
        <v>20</v>
      </c>
    </row>
    <row r="98" spans="1:21" x14ac:dyDescent="0.3">
      <c r="A98" s="8" t="s">
        <v>535</v>
      </c>
      <c r="B98" s="9">
        <v>45198</v>
      </c>
      <c r="C98" s="8" t="s">
        <v>302</v>
      </c>
      <c r="D98" s="8" t="s">
        <v>303</v>
      </c>
      <c r="E98" s="8" t="s">
        <v>72</v>
      </c>
      <c r="F98" s="8" t="s">
        <v>536</v>
      </c>
      <c r="G98" s="8" t="s">
        <v>175</v>
      </c>
      <c r="H98" s="8" t="s">
        <v>176</v>
      </c>
      <c r="I98" s="8" t="s">
        <v>537</v>
      </c>
      <c r="J98" s="8" t="s">
        <v>178</v>
      </c>
      <c r="K98" s="8" t="s">
        <v>90</v>
      </c>
      <c r="L98" s="8" t="s">
        <v>121</v>
      </c>
      <c r="M98" s="8" t="s">
        <v>64</v>
      </c>
      <c r="N98" s="8" t="s">
        <v>65</v>
      </c>
      <c r="O98" s="8" t="s">
        <v>179</v>
      </c>
      <c r="P98" s="8" t="s">
        <v>180</v>
      </c>
      <c r="Q98" s="8" t="s">
        <v>150</v>
      </c>
      <c r="R98" s="9">
        <v>45202</v>
      </c>
      <c r="S98" s="9">
        <v>45216</v>
      </c>
      <c r="T98" s="8" t="str">
        <f t="shared" si="1"/>
        <v>Cerrado</v>
      </c>
      <c r="U98" s="10">
        <f>IF(S98="",Listas!$I$1-B98,S98-B98)</f>
        <v>18</v>
      </c>
    </row>
    <row r="99" spans="1:21" x14ac:dyDescent="0.3">
      <c r="A99" s="8" t="s">
        <v>538</v>
      </c>
      <c r="B99" s="9">
        <v>45203</v>
      </c>
      <c r="C99" s="8" t="s">
        <v>302</v>
      </c>
      <c r="D99" s="8" t="s">
        <v>303</v>
      </c>
      <c r="E99" s="8" t="s">
        <v>72</v>
      </c>
      <c r="F99" s="8" t="s">
        <v>539</v>
      </c>
      <c r="G99" s="8" t="s">
        <v>204</v>
      </c>
      <c r="H99" s="8" t="s">
        <v>205</v>
      </c>
      <c r="I99" s="8" t="s">
        <v>540</v>
      </c>
      <c r="J99" s="8" t="s">
        <v>147</v>
      </c>
      <c r="K99" s="8" t="s">
        <v>112</v>
      </c>
      <c r="L99" s="8" t="s">
        <v>121</v>
      </c>
      <c r="M99" s="8" t="s">
        <v>64</v>
      </c>
      <c r="N99" s="8" t="s">
        <v>65</v>
      </c>
      <c r="O99" s="8" t="s">
        <v>148</v>
      </c>
      <c r="P99" s="8" t="s">
        <v>149</v>
      </c>
      <c r="Q99" s="8" t="s">
        <v>150</v>
      </c>
      <c r="R99" s="9">
        <v>45206</v>
      </c>
      <c r="S99" s="9">
        <v>45213</v>
      </c>
      <c r="T99" s="8" t="str">
        <f t="shared" si="1"/>
        <v>Cerrado</v>
      </c>
      <c r="U99" s="10">
        <f>IF(S99="",Listas!$I$1-B99,S99-B99)</f>
        <v>10</v>
      </c>
    </row>
    <row r="100" spans="1:21" x14ac:dyDescent="0.3">
      <c r="A100" s="8" t="s">
        <v>541</v>
      </c>
      <c r="B100" s="9">
        <v>45205</v>
      </c>
      <c r="C100" s="8" t="s">
        <v>542</v>
      </c>
      <c r="D100" s="8" t="s">
        <v>543</v>
      </c>
      <c r="E100" s="8" t="s">
        <v>96</v>
      </c>
      <c r="F100" s="8" t="s">
        <v>544</v>
      </c>
      <c r="G100" s="8" t="s">
        <v>466</v>
      </c>
      <c r="H100" s="8" t="s">
        <v>467</v>
      </c>
      <c r="I100" s="8" t="s">
        <v>545</v>
      </c>
      <c r="J100" s="8" t="s">
        <v>178</v>
      </c>
      <c r="K100" s="8" t="s">
        <v>90</v>
      </c>
      <c r="L100" s="8" t="s">
        <v>121</v>
      </c>
      <c r="M100" s="8" t="s">
        <v>64</v>
      </c>
      <c r="N100" s="8" t="s">
        <v>65</v>
      </c>
      <c r="O100" s="8" t="s">
        <v>179</v>
      </c>
      <c r="P100" s="8" t="s">
        <v>180</v>
      </c>
      <c r="Q100" s="8" t="s">
        <v>150</v>
      </c>
      <c r="R100" s="9">
        <v>45205</v>
      </c>
      <c r="S100" s="9">
        <v>45216</v>
      </c>
      <c r="T100" s="8" t="str">
        <f t="shared" si="1"/>
        <v>Cerrado</v>
      </c>
      <c r="U100" s="10">
        <f>IF(S100="",Listas!$I$1-B100,S100-B100)</f>
        <v>11</v>
      </c>
    </row>
    <row r="101" spans="1:21" x14ac:dyDescent="0.3">
      <c r="A101" s="8" t="s">
        <v>546</v>
      </c>
      <c r="B101" s="9">
        <v>45213</v>
      </c>
      <c r="C101" s="8" t="s">
        <v>123</v>
      </c>
      <c r="D101" s="8" t="s">
        <v>124</v>
      </c>
      <c r="E101" s="8" t="s">
        <v>125</v>
      </c>
      <c r="F101" s="8" t="s">
        <v>547</v>
      </c>
      <c r="G101" s="8" t="s">
        <v>204</v>
      </c>
      <c r="H101" s="8" t="s">
        <v>205</v>
      </c>
      <c r="I101" s="8" t="s">
        <v>548</v>
      </c>
      <c r="J101" s="8" t="s">
        <v>147</v>
      </c>
      <c r="K101" s="8" t="s">
        <v>112</v>
      </c>
      <c r="L101" s="8" t="s">
        <v>63</v>
      </c>
      <c r="M101" s="8" t="s">
        <v>64</v>
      </c>
      <c r="N101" s="8" t="s">
        <v>65</v>
      </c>
      <c r="O101" s="8" t="s">
        <v>148</v>
      </c>
      <c r="P101" s="8" t="s">
        <v>149</v>
      </c>
      <c r="Q101" s="8" t="s">
        <v>150</v>
      </c>
      <c r="R101" s="9">
        <v>45215</v>
      </c>
      <c r="S101" s="9">
        <v>45233</v>
      </c>
      <c r="T101" s="8" t="str">
        <f t="shared" si="1"/>
        <v>Cerrado</v>
      </c>
      <c r="U101" s="10">
        <f>IF(S101="",Listas!$I$1-B101,S101-B101)</f>
        <v>20</v>
      </c>
    </row>
    <row r="102" spans="1:21" x14ac:dyDescent="0.3">
      <c r="A102" s="8" t="s">
        <v>549</v>
      </c>
      <c r="B102" s="9">
        <v>45214</v>
      </c>
      <c r="C102" s="8" t="s">
        <v>550</v>
      </c>
      <c r="D102" s="8" t="s">
        <v>551</v>
      </c>
      <c r="E102" s="8" t="s">
        <v>72</v>
      </c>
      <c r="F102" s="8" t="s">
        <v>552</v>
      </c>
      <c r="G102" s="8" t="s">
        <v>197</v>
      </c>
      <c r="H102" s="8" t="s">
        <v>198</v>
      </c>
      <c r="I102" s="8" t="s">
        <v>553</v>
      </c>
      <c r="J102" s="8" t="s">
        <v>139</v>
      </c>
      <c r="K102" s="8" t="s">
        <v>90</v>
      </c>
      <c r="L102" s="8" t="s">
        <v>78</v>
      </c>
      <c r="M102" s="8" t="s">
        <v>64</v>
      </c>
      <c r="N102" s="8" t="s">
        <v>135</v>
      </c>
      <c r="O102" s="8" t="s">
        <v>140</v>
      </c>
      <c r="P102" s="8" t="s">
        <v>141</v>
      </c>
      <c r="Q102" s="8" t="s">
        <v>68</v>
      </c>
      <c r="R102" s="9">
        <v>45214</v>
      </c>
      <c r="S102" s="9">
        <v>45235</v>
      </c>
      <c r="T102" s="8" t="str">
        <f t="shared" si="1"/>
        <v>Cerrado</v>
      </c>
      <c r="U102" s="10">
        <f>IF(S102="",Listas!$I$1-B102,S102-B102)</f>
        <v>21</v>
      </c>
    </row>
    <row r="103" spans="1:21" x14ac:dyDescent="0.3">
      <c r="A103" s="8" t="s">
        <v>554</v>
      </c>
      <c r="B103" s="9">
        <v>45212</v>
      </c>
      <c r="C103" s="8" t="s">
        <v>348</v>
      </c>
      <c r="D103" s="8" t="s">
        <v>349</v>
      </c>
      <c r="E103" s="8" t="s">
        <v>125</v>
      </c>
      <c r="F103" s="8" t="s">
        <v>555</v>
      </c>
      <c r="G103" s="8" t="s">
        <v>418</v>
      </c>
      <c r="H103" s="8" t="s">
        <v>419</v>
      </c>
      <c r="I103" s="8" t="s">
        <v>548</v>
      </c>
      <c r="J103" s="8" t="s">
        <v>101</v>
      </c>
      <c r="K103" s="8" t="s">
        <v>62</v>
      </c>
      <c r="L103" s="8" t="s">
        <v>121</v>
      </c>
      <c r="M103" s="8" t="s">
        <v>64</v>
      </c>
      <c r="N103" s="8" t="s">
        <v>65</v>
      </c>
      <c r="O103" s="8" t="s">
        <v>103</v>
      </c>
      <c r="P103" s="8" t="s">
        <v>104</v>
      </c>
      <c r="Q103" s="8" t="s">
        <v>68</v>
      </c>
      <c r="R103" s="9">
        <v>45213</v>
      </c>
      <c r="S103" s="9">
        <v>45216</v>
      </c>
      <c r="T103" s="8" t="str">
        <f t="shared" si="1"/>
        <v>Cerrado</v>
      </c>
      <c r="U103" s="10">
        <f>IF(S103="",Listas!$I$1-B103,S103-B103)</f>
        <v>4</v>
      </c>
    </row>
    <row r="104" spans="1:21" x14ac:dyDescent="0.3">
      <c r="A104" s="8" t="s">
        <v>556</v>
      </c>
      <c r="B104" s="9">
        <v>45214</v>
      </c>
      <c r="C104" s="8" t="s">
        <v>143</v>
      </c>
      <c r="D104" s="8" t="s">
        <v>144</v>
      </c>
      <c r="E104" s="8" t="s">
        <v>72</v>
      </c>
      <c r="F104" s="8" t="s">
        <v>557</v>
      </c>
      <c r="G104" s="8" t="s">
        <v>449</v>
      </c>
      <c r="H104" s="8" t="s">
        <v>450</v>
      </c>
      <c r="I104" s="8" t="s">
        <v>558</v>
      </c>
      <c r="J104" s="8" t="s">
        <v>89</v>
      </c>
      <c r="K104" s="8" t="s">
        <v>62</v>
      </c>
      <c r="L104" s="8" t="s">
        <v>63</v>
      </c>
      <c r="M104" s="8" t="s">
        <v>64</v>
      </c>
      <c r="N104" s="8" t="s">
        <v>135</v>
      </c>
      <c r="O104" s="8" t="s">
        <v>91</v>
      </c>
      <c r="P104" s="8" t="s">
        <v>92</v>
      </c>
      <c r="Q104" s="8" t="s">
        <v>81</v>
      </c>
      <c r="R104" s="9">
        <v>45218</v>
      </c>
      <c r="S104" s="9">
        <v>45223</v>
      </c>
      <c r="T104" s="8" t="str">
        <f t="shared" si="1"/>
        <v>Cerrado</v>
      </c>
      <c r="U104" s="10">
        <f>IF(S104="",Listas!$I$1-B104,S104-B104)</f>
        <v>9</v>
      </c>
    </row>
    <row r="105" spans="1:21" x14ac:dyDescent="0.3">
      <c r="A105" s="8" t="s">
        <v>559</v>
      </c>
      <c r="B105" s="9">
        <v>45215</v>
      </c>
      <c r="C105" s="8" t="s">
        <v>194</v>
      </c>
      <c r="D105" s="8" t="s">
        <v>195</v>
      </c>
      <c r="E105" s="8" t="s">
        <v>125</v>
      </c>
      <c r="F105" s="8" t="s">
        <v>560</v>
      </c>
      <c r="G105" s="8" t="s">
        <v>230</v>
      </c>
      <c r="H105" s="8" t="s">
        <v>231</v>
      </c>
      <c r="I105" s="8" t="s">
        <v>561</v>
      </c>
      <c r="J105" s="8" t="s">
        <v>139</v>
      </c>
      <c r="K105" s="8" t="s">
        <v>90</v>
      </c>
      <c r="L105" s="8" t="s">
        <v>102</v>
      </c>
      <c r="M105" s="8" t="s">
        <v>64</v>
      </c>
      <c r="N105" s="8" t="s">
        <v>65</v>
      </c>
      <c r="O105" s="8" t="s">
        <v>140</v>
      </c>
      <c r="P105" s="8" t="s">
        <v>141</v>
      </c>
      <c r="Q105" s="8" t="s">
        <v>68</v>
      </c>
      <c r="R105" s="9">
        <v>45218</v>
      </c>
      <c r="S105" s="9">
        <v>45233</v>
      </c>
      <c r="T105" s="8" t="str">
        <f t="shared" si="1"/>
        <v>Cerrado</v>
      </c>
      <c r="U105" s="10">
        <f>IF(S105="",Listas!$I$1-B105,S105-B105)</f>
        <v>18</v>
      </c>
    </row>
    <row r="106" spans="1:21" x14ac:dyDescent="0.3">
      <c r="A106" s="8" t="s">
        <v>562</v>
      </c>
      <c r="B106" s="9">
        <v>45212</v>
      </c>
      <c r="C106" s="8" t="s">
        <v>365</v>
      </c>
      <c r="D106" s="8" t="s">
        <v>366</v>
      </c>
      <c r="E106" s="8" t="s">
        <v>72</v>
      </c>
      <c r="F106" s="8" t="s">
        <v>563</v>
      </c>
      <c r="G106" s="8" t="s">
        <v>127</v>
      </c>
      <c r="H106" s="8" t="s">
        <v>128</v>
      </c>
      <c r="I106" s="8" t="s">
        <v>564</v>
      </c>
      <c r="J106" s="8" t="s">
        <v>77</v>
      </c>
      <c r="K106" s="8" t="s">
        <v>90</v>
      </c>
      <c r="L106" s="8" t="s">
        <v>63</v>
      </c>
      <c r="M106" s="8" t="s">
        <v>64</v>
      </c>
      <c r="N106" s="8" t="s">
        <v>65</v>
      </c>
      <c r="O106" s="8" t="s">
        <v>79</v>
      </c>
      <c r="P106" s="8" t="s">
        <v>80</v>
      </c>
      <c r="Q106" s="8" t="s">
        <v>81</v>
      </c>
      <c r="R106" s="9">
        <v>45214</v>
      </c>
      <c r="S106" s="9">
        <v>45225</v>
      </c>
      <c r="T106" s="8" t="str">
        <f t="shared" si="1"/>
        <v>Cerrado</v>
      </c>
      <c r="U106" s="10">
        <f>IF(S106="",Listas!$I$1-B106,S106-B106)</f>
        <v>13</v>
      </c>
    </row>
    <row r="107" spans="1:21" x14ac:dyDescent="0.3">
      <c r="A107" s="8" t="s">
        <v>565</v>
      </c>
      <c r="B107" s="9">
        <v>45219</v>
      </c>
      <c r="C107" s="8" t="s">
        <v>323</v>
      </c>
      <c r="D107" s="8" t="s">
        <v>324</v>
      </c>
      <c r="E107" s="8" t="s">
        <v>125</v>
      </c>
      <c r="F107" s="8" t="s">
        <v>566</v>
      </c>
      <c r="G107" s="8" t="s">
        <v>175</v>
      </c>
      <c r="H107" s="8" t="s">
        <v>176</v>
      </c>
      <c r="I107" s="8" t="s">
        <v>567</v>
      </c>
      <c r="J107" s="8" t="s">
        <v>61</v>
      </c>
      <c r="K107" s="8" t="s">
        <v>62</v>
      </c>
      <c r="L107" s="8" t="s">
        <v>78</v>
      </c>
      <c r="M107" s="8" t="s">
        <v>64</v>
      </c>
      <c r="N107" s="8" t="s">
        <v>65</v>
      </c>
      <c r="O107" s="8" t="s">
        <v>66</v>
      </c>
      <c r="P107" s="8" t="s">
        <v>67</v>
      </c>
      <c r="Q107" s="8" t="s">
        <v>68</v>
      </c>
      <c r="R107" s="9">
        <v>45219</v>
      </c>
      <c r="S107" s="9">
        <v>45230</v>
      </c>
      <c r="T107" s="8" t="str">
        <f t="shared" si="1"/>
        <v>Cerrado</v>
      </c>
      <c r="U107" s="10">
        <f>IF(S107="",Listas!$I$1-B107,S107-B107)</f>
        <v>11</v>
      </c>
    </row>
    <row r="108" spans="1:21" x14ac:dyDescent="0.3">
      <c r="A108" s="8" t="s">
        <v>568</v>
      </c>
      <c r="B108" s="9">
        <v>45222</v>
      </c>
      <c r="C108" s="8" t="s">
        <v>409</v>
      </c>
      <c r="D108" s="8" t="s">
        <v>410</v>
      </c>
      <c r="E108" s="8" t="s">
        <v>125</v>
      </c>
      <c r="F108" s="8" t="s">
        <v>569</v>
      </c>
      <c r="G108" s="8" t="s">
        <v>86</v>
      </c>
      <c r="H108" s="8" t="s">
        <v>87</v>
      </c>
      <c r="I108" s="8" t="s">
        <v>570</v>
      </c>
      <c r="J108" s="8" t="s">
        <v>61</v>
      </c>
      <c r="K108" s="8" t="s">
        <v>90</v>
      </c>
      <c r="L108" s="8" t="s">
        <v>121</v>
      </c>
      <c r="M108" s="8" t="s">
        <v>64</v>
      </c>
      <c r="N108" s="8" t="s">
        <v>65</v>
      </c>
      <c r="O108" s="8" t="s">
        <v>66</v>
      </c>
      <c r="P108" s="8" t="s">
        <v>67</v>
      </c>
      <c r="Q108" s="8" t="s">
        <v>68</v>
      </c>
      <c r="R108" s="9">
        <v>45222</v>
      </c>
      <c r="S108" s="9">
        <v>45233</v>
      </c>
      <c r="T108" s="8" t="str">
        <f t="shared" si="1"/>
        <v>Cerrado</v>
      </c>
      <c r="U108" s="10">
        <f>IF(S108="",Listas!$I$1-B108,S108-B108)</f>
        <v>11</v>
      </c>
    </row>
    <row r="109" spans="1:21" x14ac:dyDescent="0.3">
      <c r="A109" s="8" t="s">
        <v>571</v>
      </c>
      <c r="B109" s="9">
        <v>45222</v>
      </c>
      <c r="C109" s="8" t="s">
        <v>83</v>
      </c>
      <c r="D109" s="8" t="s">
        <v>84</v>
      </c>
      <c r="E109" s="8" t="s">
        <v>72</v>
      </c>
      <c r="F109" s="8" t="s">
        <v>572</v>
      </c>
      <c r="G109" s="8" t="s">
        <v>418</v>
      </c>
      <c r="H109" s="8" t="s">
        <v>419</v>
      </c>
      <c r="I109" s="8" t="s">
        <v>573</v>
      </c>
      <c r="J109" s="8" t="s">
        <v>61</v>
      </c>
      <c r="K109" s="8" t="s">
        <v>90</v>
      </c>
      <c r="L109" s="8" t="s">
        <v>102</v>
      </c>
      <c r="M109" s="8" t="s">
        <v>64</v>
      </c>
      <c r="N109" s="8" t="s">
        <v>65</v>
      </c>
      <c r="O109" s="8" t="s">
        <v>66</v>
      </c>
      <c r="P109" s="8" t="s">
        <v>67</v>
      </c>
      <c r="Q109" s="8" t="s">
        <v>68</v>
      </c>
      <c r="R109" s="9">
        <v>45223</v>
      </c>
      <c r="S109" s="9">
        <v>45235</v>
      </c>
      <c r="T109" s="8" t="str">
        <f t="shared" si="1"/>
        <v>Cerrado</v>
      </c>
      <c r="U109" s="10">
        <f>IF(S109="",Listas!$I$1-B109,S109-B109)</f>
        <v>13</v>
      </c>
    </row>
    <row r="110" spans="1:21" x14ac:dyDescent="0.3">
      <c r="A110" s="8" t="s">
        <v>574</v>
      </c>
      <c r="B110" s="9">
        <v>45222</v>
      </c>
      <c r="C110" s="8" t="s">
        <v>456</v>
      </c>
      <c r="D110" s="8" t="s">
        <v>457</v>
      </c>
      <c r="E110" s="8" t="s">
        <v>116</v>
      </c>
      <c r="F110" s="8" t="s">
        <v>575</v>
      </c>
      <c r="G110" s="8" t="s">
        <v>223</v>
      </c>
      <c r="H110" s="8" t="s">
        <v>224</v>
      </c>
      <c r="I110" s="8" t="s">
        <v>576</v>
      </c>
      <c r="J110" s="8" t="s">
        <v>89</v>
      </c>
      <c r="K110" s="8" t="s">
        <v>62</v>
      </c>
      <c r="L110" s="8" t="s">
        <v>121</v>
      </c>
      <c r="M110" s="8" t="s">
        <v>64</v>
      </c>
      <c r="N110" s="8" t="s">
        <v>65</v>
      </c>
      <c r="O110" s="8" t="s">
        <v>91</v>
      </c>
      <c r="P110" s="8" t="s">
        <v>92</v>
      </c>
      <c r="Q110" s="8" t="s">
        <v>81</v>
      </c>
      <c r="R110" s="9">
        <v>45222</v>
      </c>
      <c r="S110" s="9">
        <v>45238</v>
      </c>
      <c r="T110" s="8" t="str">
        <f t="shared" si="1"/>
        <v>Cerrado</v>
      </c>
      <c r="U110" s="10">
        <f>IF(S110="",Listas!$I$1-B110,S110-B110)</f>
        <v>16</v>
      </c>
    </row>
    <row r="111" spans="1:21" x14ac:dyDescent="0.3">
      <c r="A111" s="8" t="s">
        <v>577</v>
      </c>
      <c r="B111" s="9">
        <v>45232</v>
      </c>
      <c r="C111" s="8" t="s">
        <v>515</v>
      </c>
      <c r="D111" s="8" t="s">
        <v>516</v>
      </c>
      <c r="E111" s="8" t="s">
        <v>125</v>
      </c>
      <c r="F111" s="8" t="s">
        <v>578</v>
      </c>
      <c r="G111" s="8" t="s">
        <v>86</v>
      </c>
      <c r="H111" s="8" t="s">
        <v>87</v>
      </c>
      <c r="I111" s="8" t="s">
        <v>579</v>
      </c>
      <c r="J111" s="8" t="s">
        <v>89</v>
      </c>
      <c r="K111" s="8" t="s">
        <v>112</v>
      </c>
      <c r="L111" s="8" t="s">
        <v>78</v>
      </c>
      <c r="M111" s="8" t="s">
        <v>64</v>
      </c>
      <c r="N111" s="8" t="s">
        <v>65</v>
      </c>
      <c r="O111" s="8" t="s">
        <v>91</v>
      </c>
      <c r="P111" s="8" t="s">
        <v>92</v>
      </c>
      <c r="Q111" s="8" t="s">
        <v>81</v>
      </c>
      <c r="R111" s="9">
        <v>45234</v>
      </c>
      <c r="S111" s="9">
        <v>45253</v>
      </c>
      <c r="T111" s="8" t="str">
        <f t="shared" si="1"/>
        <v>Cerrado</v>
      </c>
      <c r="U111" s="10">
        <f>IF(S111="",Listas!$I$1-B111,S111-B111)</f>
        <v>21</v>
      </c>
    </row>
    <row r="112" spans="1:21" x14ac:dyDescent="0.3">
      <c r="A112" s="8" t="s">
        <v>580</v>
      </c>
      <c r="B112" s="9">
        <v>45229</v>
      </c>
      <c r="C112" s="8" t="s">
        <v>194</v>
      </c>
      <c r="D112" s="8" t="s">
        <v>195</v>
      </c>
      <c r="E112" s="8" t="s">
        <v>125</v>
      </c>
      <c r="F112" s="8" t="s">
        <v>581</v>
      </c>
      <c r="G112" s="8" t="s">
        <v>185</v>
      </c>
      <c r="H112" s="8" t="s">
        <v>186</v>
      </c>
      <c r="I112" s="8" t="s">
        <v>579</v>
      </c>
      <c r="J112" s="8" t="s">
        <v>147</v>
      </c>
      <c r="K112" s="8" t="s">
        <v>62</v>
      </c>
      <c r="L112" s="8" t="s">
        <v>78</v>
      </c>
      <c r="M112" s="8" t="s">
        <v>64</v>
      </c>
      <c r="N112" s="8" t="s">
        <v>65</v>
      </c>
      <c r="O112" s="8" t="s">
        <v>148</v>
      </c>
      <c r="P112" s="8" t="s">
        <v>149</v>
      </c>
      <c r="Q112" s="8" t="s">
        <v>150</v>
      </c>
      <c r="R112" s="9">
        <v>45233</v>
      </c>
      <c r="S112" s="9">
        <v>45245</v>
      </c>
      <c r="T112" s="8" t="str">
        <f t="shared" si="1"/>
        <v>Cerrado</v>
      </c>
      <c r="U112" s="10">
        <f>IF(S112="",Listas!$I$1-B112,S112-B112)</f>
        <v>16</v>
      </c>
    </row>
    <row r="113" spans="1:21" x14ac:dyDescent="0.3">
      <c r="A113" s="8" t="s">
        <v>582</v>
      </c>
      <c r="B113" s="9">
        <v>45243</v>
      </c>
      <c r="C113" s="8" t="s">
        <v>583</v>
      </c>
      <c r="D113" s="8" t="s">
        <v>584</v>
      </c>
      <c r="E113" s="8" t="s">
        <v>116</v>
      </c>
      <c r="F113" s="8" t="s">
        <v>585</v>
      </c>
      <c r="G113" s="8" t="s">
        <v>58</v>
      </c>
      <c r="H113" s="8" t="s">
        <v>59</v>
      </c>
      <c r="I113" s="8" t="s">
        <v>586</v>
      </c>
      <c r="J113" s="8" t="s">
        <v>89</v>
      </c>
      <c r="K113" s="8" t="s">
        <v>90</v>
      </c>
      <c r="L113" s="8" t="s">
        <v>78</v>
      </c>
      <c r="M113" s="8" t="s">
        <v>64</v>
      </c>
      <c r="N113" s="8" t="s">
        <v>65</v>
      </c>
      <c r="O113" s="8" t="s">
        <v>91</v>
      </c>
      <c r="P113" s="8" t="s">
        <v>92</v>
      </c>
      <c r="Q113" s="8" t="s">
        <v>81</v>
      </c>
      <c r="R113" s="9">
        <v>45245</v>
      </c>
      <c r="S113" s="9">
        <v>45248</v>
      </c>
      <c r="T113" s="8" t="str">
        <f t="shared" si="1"/>
        <v>Cerrado</v>
      </c>
      <c r="U113" s="10">
        <f>IF(S113="",Listas!$I$1-B113,S113-B113)</f>
        <v>5</v>
      </c>
    </row>
    <row r="114" spans="1:21" x14ac:dyDescent="0.3">
      <c r="A114" s="8" t="s">
        <v>587</v>
      </c>
      <c r="B114" s="9">
        <v>45240</v>
      </c>
      <c r="C114" s="8" t="s">
        <v>588</v>
      </c>
      <c r="D114" s="8" t="s">
        <v>589</v>
      </c>
      <c r="E114" s="8" t="s">
        <v>116</v>
      </c>
      <c r="F114" s="8" t="s">
        <v>590</v>
      </c>
      <c r="G114" s="8" t="s">
        <v>58</v>
      </c>
      <c r="H114" s="8" t="s">
        <v>59</v>
      </c>
      <c r="I114" s="8" t="s">
        <v>586</v>
      </c>
      <c r="J114" s="8" t="s">
        <v>89</v>
      </c>
      <c r="K114" s="8" t="s">
        <v>90</v>
      </c>
      <c r="L114" s="8" t="s">
        <v>102</v>
      </c>
      <c r="M114" s="8" t="s">
        <v>64</v>
      </c>
      <c r="N114" s="8" t="s">
        <v>65</v>
      </c>
      <c r="O114" s="8" t="s">
        <v>91</v>
      </c>
      <c r="P114" s="8" t="s">
        <v>92</v>
      </c>
      <c r="Q114" s="8" t="s">
        <v>81</v>
      </c>
      <c r="R114" s="9">
        <v>45244</v>
      </c>
      <c r="S114" s="9">
        <v>45252</v>
      </c>
      <c r="T114" s="8" t="str">
        <f t="shared" si="1"/>
        <v>Cerrado</v>
      </c>
      <c r="U114" s="10">
        <f>IF(S114="",Listas!$I$1-B114,S114-B114)</f>
        <v>12</v>
      </c>
    </row>
    <row r="115" spans="1:21" x14ac:dyDescent="0.3">
      <c r="A115" s="8" t="s">
        <v>591</v>
      </c>
      <c r="B115" s="9">
        <v>45242</v>
      </c>
      <c r="C115" s="8" t="s">
        <v>106</v>
      </c>
      <c r="D115" s="8" t="s">
        <v>107</v>
      </c>
      <c r="E115" s="8" t="s">
        <v>96</v>
      </c>
      <c r="F115" s="8" t="s">
        <v>592</v>
      </c>
      <c r="G115" s="8" t="s">
        <v>86</v>
      </c>
      <c r="H115" s="8" t="s">
        <v>87</v>
      </c>
      <c r="I115" s="8" t="s">
        <v>586</v>
      </c>
      <c r="J115" s="8" t="s">
        <v>101</v>
      </c>
      <c r="K115" s="8" t="s">
        <v>90</v>
      </c>
      <c r="L115" s="8" t="s">
        <v>78</v>
      </c>
      <c r="M115" s="8" t="s">
        <v>64</v>
      </c>
      <c r="N115" s="8" t="s">
        <v>65</v>
      </c>
      <c r="O115" s="8" t="s">
        <v>103</v>
      </c>
      <c r="P115" s="8" t="s">
        <v>104</v>
      </c>
      <c r="Q115" s="8" t="s">
        <v>68</v>
      </c>
      <c r="R115" s="9">
        <v>45245</v>
      </c>
      <c r="S115" s="9">
        <v>45253</v>
      </c>
      <c r="T115" s="8" t="str">
        <f t="shared" si="1"/>
        <v>Cerrado</v>
      </c>
      <c r="U115" s="10">
        <f>IF(S115="",Listas!$I$1-B115,S115-B115)</f>
        <v>11</v>
      </c>
    </row>
    <row r="116" spans="1:21" x14ac:dyDescent="0.3">
      <c r="A116" s="8" t="s">
        <v>593</v>
      </c>
      <c r="B116" s="9">
        <v>45244</v>
      </c>
      <c r="C116" s="8" t="s">
        <v>194</v>
      </c>
      <c r="D116" s="8" t="s">
        <v>195</v>
      </c>
      <c r="E116" s="8" t="s">
        <v>125</v>
      </c>
      <c r="F116" s="8" t="s">
        <v>594</v>
      </c>
      <c r="G116" s="8" t="s">
        <v>86</v>
      </c>
      <c r="H116" s="8" t="s">
        <v>87</v>
      </c>
      <c r="I116" s="8" t="s">
        <v>595</v>
      </c>
      <c r="J116" s="8" t="s">
        <v>101</v>
      </c>
      <c r="K116" s="8" t="s">
        <v>62</v>
      </c>
      <c r="L116" s="8" t="s">
        <v>78</v>
      </c>
      <c r="M116" s="8" t="s">
        <v>64</v>
      </c>
      <c r="N116" s="8" t="s">
        <v>135</v>
      </c>
      <c r="O116" s="8" t="s">
        <v>103</v>
      </c>
      <c r="P116" s="8" t="s">
        <v>104</v>
      </c>
      <c r="Q116" s="8" t="s">
        <v>68</v>
      </c>
      <c r="R116" s="9">
        <v>45246</v>
      </c>
      <c r="S116" s="9">
        <v>45252</v>
      </c>
      <c r="T116" s="8" t="str">
        <f t="shared" si="1"/>
        <v>Cerrado</v>
      </c>
      <c r="U116" s="10">
        <f>IF(S116="",Listas!$I$1-B116,S116-B116)</f>
        <v>8</v>
      </c>
    </row>
    <row r="117" spans="1:21" x14ac:dyDescent="0.3">
      <c r="A117" s="8" t="s">
        <v>596</v>
      </c>
      <c r="B117" s="9">
        <v>45252</v>
      </c>
      <c r="C117" s="8" t="s">
        <v>358</v>
      </c>
      <c r="D117" s="8" t="s">
        <v>359</v>
      </c>
      <c r="E117" s="8" t="s">
        <v>56</v>
      </c>
      <c r="F117" s="8" t="s">
        <v>597</v>
      </c>
      <c r="G117" s="8" t="s">
        <v>211</v>
      </c>
      <c r="H117" s="8" t="s">
        <v>212</v>
      </c>
      <c r="I117" s="8" t="s">
        <v>598</v>
      </c>
      <c r="J117" s="8" t="s">
        <v>178</v>
      </c>
      <c r="K117" s="8" t="s">
        <v>112</v>
      </c>
      <c r="L117" s="8" t="s">
        <v>102</v>
      </c>
      <c r="M117" s="8" t="s">
        <v>64</v>
      </c>
      <c r="N117" s="8" t="s">
        <v>135</v>
      </c>
      <c r="O117" s="8" t="s">
        <v>179</v>
      </c>
      <c r="P117" s="8" t="s">
        <v>180</v>
      </c>
      <c r="Q117" s="8" t="s">
        <v>150</v>
      </c>
      <c r="R117" s="9">
        <v>45254</v>
      </c>
      <c r="S117" s="9">
        <v>45265</v>
      </c>
      <c r="T117" s="8" t="str">
        <f t="shared" si="1"/>
        <v>Cerrado</v>
      </c>
      <c r="U117" s="10">
        <f>IF(S117="",Listas!$I$1-B117,S117-B117)</f>
        <v>13</v>
      </c>
    </row>
    <row r="118" spans="1:21" x14ac:dyDescent="0.3">
      <c r="A118" s="8" t="s">
        <v>599</v>
      </c>
      <c r="B118" s="9">
        <v>45246</v>
      </c>
      <c r="C118" s="8" t="s">
        <v>288</v>
      </c>
      <c r="D118" s="8" t="s">
        <v>289</v>
      </c>
      <c r="E118" s="8" t="s">
        <v>96</v>
      </c>
      <c r="F118" s="8" t="s">
        <v>600</v>
      </c>
      <c r="G118" s="8" t="s">
        <v>175</v>
      </c>
      <c r="H118" s="8" t="s">
        <v>176</v>
      </c>
      <c r="I118" s="8" t="s">
        <v>601</v>
      </c>
      <c r="J118" s="8" t="s">
        <v>178</v>
      </c>
      <c r="K118" s="8" t="s">
        <v>62</v>
      </c>
      <c r="L118" s="8" t="s">
        <v>121</v>
      </c>
      <c r="M118" s="8" t="s">
        <v>64</v>
      </c>
      <c r="N118" s="8" t="s">
        <v>65</v>
      </c>
      <c r="O118" s="8" t="s">
        <v>179</v>
      </c>
      <c r="P118" s="8" t="s">
        <v>180</v>
      </c>
      <c r="Q118" s="8" t="s">
        <v>150</v>
      </c>
      <c r="R118" s="9">
        <v>45246</v>
      </c>
      <c r="S118" s="9">
        <v>45261</v>
      </c>
      <c r="T118" s="8" t="str">
        <f t="shared" si="1"/>
        <v>Cerrado</v>
      </c>
      <c r="U118" s="10">
        <f>IF(S118="",Listas!$I$1-B118,S118-B118)</f>
        <v>15</v>
      </c>
    </row>
    <row r="119" spans="1:21" x14ac:dyDescent="0.3">
      <c r="A119" s="8" t="s">
        <v>602</v>
      </c>
      <c r="B119" s="9">
        <v>45249</v>
      </c>
      <c r="C119" s="8" t="s">
        <v>603</v>
      </c>
      <c r="D119" s="8" t="s">
        <v>604</v>
      </c>
      <c r="E119" s="8" t="s">
        <v>72</v>
      </c>
      <c r="F119" s="8" t="s">
        <v>605</v>
      </c>
      <c r="G119" s="8" t="s">
        <v>58</v>
      </c>
      <c r="H119" s="8" t="s">
        <v>59</v>
      </c>
      <c r="I119" s="8" t="s">
        <v>606</v>
      </c>
      <c r="J119" s="8" t="s">
        <v>147</v>
      </c>
      <c r="K119" s="8" t="s">
        <v>90</v>
      </c>
      <c r="L119" s="8" t="s">
        <v>78</v>
      </c>
      <c r="M119" s="8" t="s">
        <v>64</v>
      </c>
      <c r="N119" s="8" t="s">
        <v>65</v>
      </c>
      <c r="O119" s="8" t="s">
        <v>148</v>
      </c>
      <c r="P119" s="8" t="s">
        <v>149</v>
      </c>
      <c r="Q119" s="8" t="s">
        <v>150</v>
      </c>
      <c r="R119" s="9">
        <v>45251</v>
      </c>
      <c r="S119" s="9">
        <v>45260</v>
      </c>
      <c r="T119" s="8" t="str">
        <f t="shared" si="1"/>
        <v>Cerrado</v>
      </c>
      <c r="U119" s="10">
        <f>IF(S119="",Listas!$I$1-B119,S119-B119)</f>
        <v>11</v>
      </c>
    </row>
    <row r="120" spans="1:21" x14ac:dyDescent="0.3">
      <c r="A120" s="8" t="s">
        <v>607</v>
      </c>
      <c r="B120" s="9">
        <v>45254</v>
      </c>
      <c r="C120" s="8" t="s">
        <v>409</v>
      </c>
      <c r="D120" s="8" t="s">
        <v>410</v>
      </c>
      <c r="E120" s="8" t="s">
        <v>125</v>
      </c>
      <c r="F120" s="8" t="s">
        <v>608</v>
      </c>
      <c r="G120" s="8" t="s">
        <v>58</v>
      </c>
      <c r="H120" s="8" t="s">
        <v>59</v>
      </c>
      <c r="I120" s="8" t="s">
        <v>609</v>
      </c>
      <c r="J120" s="8" t="s">
        <v>178</v>
      </c>
      <c r="K120" s="8" t="s">
        <v>62</v>
      </c>
      <c r="L120" s="8" t="s">
        <v>121</v>
      </c>
      <c r="M120" s="8" t="s">
        <v>64</v>
      </c>
      <c r="N120" s="8" t="s">
        <v>135</v>
      </c>
      <c r="O120" s="8" t="s">
        <v>179</v>
      </c>
      <c r="P120" s="8" t="s">
        <v>180</v>
      </c>
      <c r="Q120" s="8" t="s">
        <v>150</v>
      </c>
      <c r="R120" s="9">
        <v>45256</v>
      </c>
      <c r="S120" s="9">
        <v>45264</v>
      </c>
      <c r="T120" s="8" t="str">
        <f t="shared" si="1"/>
        <v>Cerrado</v>
      </c>
      <c r="U120" s="10">
        <f>IF(S120="",Listas!$I$1-B120,S120-B120)</f>
        <v>10</v>
      </c>
    </row>
    <row r="121" spans="1:21" x14ac:dyDescent="0.3">
      <c r="A121" s="8" t="s">
        <v>610</v>
      </c>
      <c r="B121" s="9">
        <v>45255</v>
      </c>
      <c r="C121" s="8" t="s">
        <v>498</v>
      </c>
      <c r="D121" s="8" t="s">
        <v>499</v>
      </c>
      <c r="E121" s="8" t="s">
        <v>96</v>
      </c>
      <c r="F121" s="8" t="s">
        <v>611</v>
      </c>
      <c r="G121" s="8" t="s">
        <v>167</v>
      </c>
      <c r="H121" s="8" t="s">
        <v>168</v>
      </c>
      <c r="I121" s="8" t="s">
        <v>612</v>
      </c>
      <c r="J121" s="8" t="s">
        <v>178</v>
      </c>
      <c r="K121" s="8" t="s">
        <v>62</v>
      </c>
      <c r="L121" s="8" t="s">
        <v>63</v>
      </c>
      <c r="M121" s="8" t="s">
        <v>64</v>
      </c>
      <c r="N121" s="8" t="s">
        <v>135</v>
      </c>
      <c r="O121" s="8" t="s">
        <v>179</v>
      </c>
      <c r="P121" s="8" t="s">
        <v>180</v>
      </c>
      <c r="Q121" s="8" t="s">
        <v>150</v>
      </c>
      <c r="R121" s="9">
        <v>45259</v>
      </c>
      <c r="S121" s="9">
        <v>45262</v>
      </c>
      <c r="T121" s="8" t="str">
        <f t="shared" si="1"/>
        <v>Cerrado</v>
      </c>
      <c r="U121" s="10">
        <f>IF(S121="",Listas!$I$1-B121,S121-B121)</f>
        <v>7</v>
      </c>
    </row>
    <row r="122" spans="1:21" x14ac:dyDescent="0.3">
      <c r="A122" s="8" t="s">
        <v>613</v>
      </c>
      <c r="B122" s="9">
        <v>45256</v>
      </c>
      <c r="C122" s="8" t="s">
        <v>498</v>
      </c>
      <c r="D122" s="8" t="s">
        <v>499</v>
      </c>
      <c r="E122" s="8" t="s">
        <v>96</v>
      </c>
      <c r="F122" s="8" t="s">
        <v>614</v>
      </c>
      <c r="G122" s="8" t="s">
        <v>58</v>
      </c>
      <c r="H122" s="8" t="s">
        <v>59</v>
      </c>
      <c r="I122" s="8" t="s">
        <v>615</v>
      </c>
      <c r="J122" s="8" t="s">
        <v>139</v>
      </c>
      <c r="K122" s="8" t="s">
        <v>90</v>
      </c>
      <c r="L122" s="8" t="s">
        <v>102</v>
      </c>
      <c r="M122" s="8" t="s">
        <v>64</v>
      </c>
      <c r="N122" s="8" t="s">
        <v>65</v>
      </c>
      <c r="O122" s="8" t="s">
        <v>140</v>
      </c>
      <c r="P122" s="8" t="s">
        <v>141</v>
      </c>
      <c r="Q122" s="8" t="s">
        <v>68</v>
      </c>
      <c r="R122" s="9">
        <v>45257</v>
      </c>
      <c r="S122" s="9">
        <v>45271</v>
      </c>
      <c r="T122" s="8" t="str">
        <f t="shared" si="1"/>
        <v>Cerrado</v>
      </c>
      <c r="U122" s="10">
        <f>IF(S122="",Listas!$I$1-B122,S122-B122)</f>
        <v>15</v>
      </c>
    </row>
    <row r="123" spans="1:21" x14ac:dyDescent="0.3">
      <c r="A123" s="8" t="s">
        <v>616</v>
      </c>
      <c r="B123" s="9">
        <v>45256</v>
      </c>
      <c r="C123" s="8" t="s">
        <v>617</v>
      </c>
      <c r="D123" s="8" t="s">
        <v>618</v>
      </c>
      <c r="E123" s="8" t="s">
        <v>96</v>
      </c>
      <c r="F123" s="8" t="s">
        <v>619</v>
      </c>
      <c r="G123" s="8" t="s">
        <v>211</v>
      </c>
      <c r="H123" s="8" t="s">
        <v>212</v>
      </c>
      <c r="I123" s="8" t="s">
        <v>612</v>
      </c>
      <c r="J123" s="8" t="s">
        <v>147</v>
      </c>
      <c r="K123" s="8" t="s">
        <v>90</v>
      </c>
      <c r="L123" s="8" t="s">
        <v>102</v>
      </c>
      <c r="M123" s="8" t="s">
        <v>64</v>
      </c>
      <c r="N123" s="8" t="s">
        <v>65</v>
      </c>
      <c r="O123" s="8" t="s">
        <v>148</v>
      </c>
      <c r="P123" s="8" t="s">
        <v>149</v>
      </c>
      <c r="Q123" s="8" t="s">
        <v>150</v>
      </c>
      <c r="R123" s="9">
        <v>45258</v>
      </c>
      <c r="S123" s="9">
        <v>45272</v>
      </c>
      <c r="T123" s="8" t="str">
        <f t="shared" si="1"/>
        <v>Cerrado</v>
      </c>
      <c r="U123" s="10">
        <f>IF(S123="",Listas!$I$1-B123,S123-B123)</f>
        <v>16</v>
      </c>
    </row>
    <row r="124" spans="1:21" x14ac:dyDescent="0.3">
      <c r="A124" s="8" t="s">
        <v>620</v>
      </c>
      <c r="B124" s="9">
        <v>45262</v>
      </c>
      <c r="C124" s="8" t="s">
        <v>422</v>
      </c>
      <c r="D124" s="8" t="s">
        <v>423</v>
      </c>
      <c r="E124" s="8" t="s">
        <v>72</v>
      </c>
      <c r="F124" s="8" t="s">
        <v>621</v>
      </c>
      <c r="G124" s="8" t="s">
        <v>74</v>
      </c>
      <c r="H124" s="8" t="s">
        <v>75</v>
      </c>
      <c r="I124" s="8" t="s">
        <v>622</v>
      </c>
      <c r="J124" s="8" t="s">
        <v>77</v>
      </c>
      <c r="K124" s="8" t="s">
        <v>90</v>
      </c>
      <c r="L124" s="8" t="s">
        <v>78</v>
      </c>
      <c r="M124" s="8" t="s">
        <v>64</v>
      </c>
      <c r="N124" s="8" t="s">
        <v>65</v>
      </c>
      <c r="O124" s="8" t="s">
        <v>79</v>
      </c>
      <c r="P124" s="8" t="s">
        <v>80</v>
      </c>
      <c r="Q124" s="8" t="s">
        <v>81</v>
      </c>
      <c r="R124" s="9">
        <v>45263</v>
      </c>
      <c r="S124" s="9">
        <v>45263</v>
      </c>
      <c r="T124" s="8" t="str">
        <f t="shared" si="1"/>
        <v>Cerrado</v>
      </c>
      <c r="U124" s="10">
        <f>IF(S124="",Listas!$I$1-B124,S124-B124)</f>
        <v>1</v>
      </c>
    </row>
    <row r="125" spans="1:21" x14ac:dyDescent="0.3">
      <c r="A125" s="8" t="s">
        <v>623</v>
      </c>
      <c r="B125" s="9">
        <v>45264</v>
      </c>
      <c r="C125" s="8" t="s">
        <v>515</v>
      </c>
      <c r="D125" s="8" t="s">
        <v>516</v>
      </c>
      <c r="E125" s="8" t="s">
        <v>125</v>
      </c>
      <c r="F125" s="8" t="s">
        <v>624</v>
      </c>
      <c r="G125" s="8" t="s">
        <v>368</v>
      </c>
      <c r="H125" s="8" t="s">
        <v>369</v>
      </c>
      <c r="I125" s="8" t="s">
        <v>625</v>
      </c>
      <c r="J125" s="8" t="s">
        <v>178</v>
      </c>
      <c r="K125" s="8" t="s">
        <v>112</v>
      </c>
      <c r="L125" s="8" t="s">
        <v>102</v>
      </c>
      <c r="M125" s="8" t="s">
        <v>64</v>
      </c>
      <c r="N125" s="8" t="s">
        <v>135</v>
      </c>
      <c r="O125" s="8" t="s">
        <v>179</v>
      </c>
      <c r="P125" s="8" t="s">
        <v>180</v>
      </c>
      <c r="Q125" s="8" t="s">
        <v>150</v>
      </c>
      <c r="R125" s="9">
        <v>45267</v>
      </c>
      <c r="S125" s="9">
        <v>45274</v>
      </c>
      <c r="T125" s="8" t="str">
        <f t="shared" si="1"/>
        <v>Cerrado</v>
      </c>
      <c r="U125" s="10">
        <f>IF(S125="",Listas!$I$1-B125,S125-B125)</f>
        <v>10</v>
      </c>
    </row>
    <row r="126" spans="1:21" x14ac:dyDescent="0.3">
      <c r="A126" s="8" t="s">
        <v>626</v>
      </c>
      <c r="B126" s="9">
        <v>45263</v>
      </c>
      <c r="C126" s="8" t="s">
        <v>164</v>
      </c>
      <c r="D126" s="8" t="s">
        <v>165</v>
      </c>
      <c r="E126" s="8" t="s">
        <v>116</v>
      </c>
      <c r="F126" s="8" t="s">
        <v>627</v>
      </c>
      <c r="G126" s="8" t="s">
        <v>109</v>
      </c>
      <c r="H126" s="8" t="s">
        <v>110</v>
      </c>
      <c r="I126" s="8" t="s">
        <v>628</v>
      </c>
      <c r="J126" s="8" t="s">
        <v>139</v>
      </c>
      <c r="K126" s="8" t="s">
        <v>62</v>
      </c>
      <c r="L126" s="8" t="s">
        <v>63</v>
      </c>
      <c r="M126" s="8" t="s">
        <v>64</v>
      </c>
      <c r="N126" s="8" t="s">
        <v>65</v>
      </c>
      <c r="O126" s="8" t="s">
        <v>140</v>
      </c>
      <c r="P126" s="8" t="s">
        <v>141</v>
      </c>
      <c r="Q126" s="8" t="s">
        <v>68</v>
      </c>
      <c r="R126" s="9">
        <v>45265</v>
      </c>
      <c r="S126" s="9">
        <v>45269</v>
      </c>
      <c r="T126" s="8" t="str">
        <f t="shared" si="1"/>
        <v>Cerrado</v>
      </c>
      <c r="U126" s="10">
        <f>IF(S126="",Listas!$I$1-B126,S126-B126)</f>
        <v>6</v>
      </c>
    </row>
    <row r="127" spans="1:21" x14ac:dyDescent="0.3">
      <c r="A127" s="8" t="s">
        <v>629</v>
      </c>
      <c r="B127" s="9">
        <v>45267</v>
      </c>
      <c r="C127" s="8" t="s">
        <v>123</v>
      </c>
      <c r="D127" s="8" t="s">
        <v>124</v>
      </c>
      <c r="E127" s="8" t="s">
        <v>125</v>
      </c>
      <c r="F127" s="8" t="s">
        <v>630</v>
      </c>
      <c r="G127" s="8" t="s">
        <v>118</v>
      </c>
      <c r="H127" s="8" t="s">
        <v>119</v>
      </c>
      <c r="I127" s="8" t="s">
        <v>631</v>
      </c>
      <c r="J127" s="8" t="s">
        <v>89</v>
      </c>
      <c r="K127" s="8" t="s">
        <v>62</v>
      </c>
      <c r="L127" s="8" t="s">
        <v>63</v>
      </c>
      <c r="M127" s="8" t="s">
        <v>64</v>
      </c>
      <c r="N127" s="8" t="s">
        <v>65</v>
      </c>
      <c r="O127" s="8" t="s">
        <v>91</v>
      </c>
      <c r="P127" s="8" t="s">
        <v>92</v>
      </c>
      <c r="Q127" s="8" t="s">
        <v>81</v>
      </c>
      <c r="R127" s="9">
        <v>45269</v>
      </c>
      <c r="S127" s="9">
        <v>45280</v>
      </c>
      <c r="T127" s="8" t="str">
        <f t="shared" si="1"/>
        <v>Cerrado</v>
      </c>
      <c r="U127" s="10">
        <f>IF(S127="",Listas!$I$1-B127,S127-B127)</f>
        <v>13</v>
      </c>
    </row>
    <row r="128" spans="1:21" x14ac:dyDescent="0.3">
      <c r="A128" s="8" t="s">
        <v>632</v>
      </c>
      <c r="B128" s="9">
        <v>45266</v>
      </c>
      <c r="C128" s="8" t="s">
        <v>633</v>
      </c>
      <c r="D128" s="8" t="s">
        <v>634</v>
      </c>
      <c r="E128" s="8" t="s">
        <v>116</v>
      </c>
      <c r="F128" s="8" t="s">
        <v>635</v>
      </c>
      <c r="G128" s="8" t="s">
        <v>58</v>
      </c>
      <c r="H128" s="8" t="s">
        <v>59</v>
      </c>
      <c r="I128" s="8" t="s">
        <v>636</v>
      </c>
      <c r="J128" s="8" t="s">
        <v>139</v>
      </c>
      <c r="K128" s="8" t="s">
        <v>62</v>
      </c>
      <c r="L128" s="8" t="s">
        <v>63</v>
      </c>
      <c r="M128" s="8" t="s">
        <v>64</v>
      </c>
      <c r="N128" s="8" t="s">
        <v>65</v>
      </c>
      <c r="O128" s="8" t="s">
        <v>140</v>
      </c>
      <c r="P128" s="8" t="s">
        <v>141</v>
      </c>
      <c r="Q128" s="8" t="s">
        <v>68</v>
      </c>
      <c r="R128" s="9">
        <v>45270</v>
      </c>
      <c r="S128" s="9">
        <v>45278</v>
      </c>
      <c r="T128" s="8" t="str">
        <f t="shared" si="1"/>
        <v>Cerrado</v>
      </c>
      <c r="U128" s="10">
        <f>IF(S128="",Listas!$I$1-B128,S128-B128)</f>
        <v>12</v>
      </c>
    </row>
    <row r="129" spans="1:21" x14ac:dyDescent="0.3">
      <c r="A129" s="8" t="s">
        <v>637</v>
      </c>
      <c r="B129" s="9">
        <v>45274</v>
      </c>
      <c r="C129" s="8" t="s">
        <v>70</v>
      </c>
      <c r="D129" s="8" t="s">
        <v>71</v>
      </c>
      <c r="E129" s="8" t="s">
        <v>72</v>
      </c>
      <c r="F129" s="8" t="s">
        <v>638</v>
      </c>
      <c r="G129" s="8" t="s">
        <v>211</v>
      </c>
      <c r="H129" s="8" t="s">
        <v>212</v>
      </c>
      <c r="I129" s="8" t="s">
        <v>639</v>
      </c>
      <c r="J129" s="8" t="s">
        <v>61</v>
      </c>
      <c r="K129" s="8" t="s">
        <v>90</v>
      </c>
      <c r="L129" s="8" t="s">
        <v>102</v>
      </c>
      <c r="M129" s="8" t="s">
        <v>64</v>
      </c>
      <c r="N129" s="8" t="s">
        <v>135</v>
      </c>
      <c r="O129" s="8" t="s">
        <v>66</v>
      </c>
      <c r="P129" s="8" t="s">
        <v>67</v>
      </c>
      <c r="Q129" s="8" t="s">
        <v>68</v>
      </c>
      <c r="R129" s="9">
        <v>45278</v>
      </c>
      <c r="S129" s="9">
        <v>45288</v>
      </c>
      <c r="T129" s="8" t="str">
        <f t="shared" si="1"/>
        <v>Cerrado</v>
      </c>
      <c r="U129" s="10">
        <f>IF(S129="",Listas!$I$1-B129,S129-B129)</f>
        <v>14</v>
      </c>
    </row>
    <row r="130" spans="1:21" x14ac:dyDescent="0.3">
      <c r="A130" s="8" t="s">
        <v>640</v>
      </c>
      <c r="B130" s="9">
        <v>45269</v>
      </c>
      <c r="C130" s="8" t="s">
        <v>641</v>
      </c>
      <c r="D130" s="8" t="s">
        <v>642</v>
      </c>
      <c r="E130" s="8" t="s">
        <v>72</v>
      </c>
      <c r="F130" s="8" t="s">
        <v>643</v>
      </c>
      <c r="G130" s="8" t="s">
        <v>334</v>
      </c>
      <c r="H130" s="8" t="s">
        <v>335</v>
      </c>
      <c r="I130" s="8" t="s">
        <v>644</v>
      </c>
      <c r="J130" s="8" t="s">
        <v>147</v>
      </c>
      <c r="K130" s="8" t="s">
        <v>90</v>
      </c>
      <c r="L130" s="8" t="s">
        <v>121</v>
      </c>
      <c r="M130" s="8" t="s">
        <v>64</v>
      </c>
      <c r="N130" s="8" t="s">
        <v>65</v>
      </c>
      <c r="O130" s="8" t="s">
        <v>148</v>
      </c>
      <c r="P130" s="8" t="s">
        <v>149</v>
      </c>
      <c r="Q130" s="8" t="s">
        <v>150</v>
      </c>
      <c r="R130" s="9">
        <v>45273</v>
      </c>
      <c r="S130" s="9">
        <v>45284</v>
      </c>
      <c r="T130" s="8" t="str">
        <f t="shared" ref="T130:T193" si="2">IF(S130="","En proceso","Cerrado")</f>
        <v>Cerrado</v>
      </c>
      <c r="U130" s="10">
        <f>IF(S130="",Listas!$I$1-B130,S130-B130)</f>
        <v>15</v>
      </c>
    </row>
    <row r="131" spans="1:21" x14ac:dyDescent="0.3">
      <c r="A131" s="8" t="s">
        <v>645</v>
      </c>
      <c r="B131" s="9">
        <v>45284</v>
      </c>
      <c r="C131" s="8" t="s">
        <v>409</v>
      </c>
      <c r="D131" s="8" t="s">
        <v>410</v>
      </c>
      <c r="E131" s="8" t="s">
        <v>125</v>
      </c>
      <c r="F131" s="8" t="s">
        <v>646</v>
      </c>
      <c r="G131" s="8" t="s">
        <v>74</v>
      </c>
      <c r="H131" s="8" t="s">
        <v>75</v>
      </c>
      <c r="I131" s="8" t="s">
        <v>647</v>
      </c>
      <c r="J131" s="8" t="s">
        <v>139</v>
      </c>
      <c r="K131" s="8" t="s">
        <v>112</v>
      </c>
      <c r="L131" s="8" t="s">
        <v>63</v>
      </c>
      <c r="M131" s="8" t="s">
        <v>64</v>
      </c>
      <c r="N131" s="8" t="s">
        <v>65</v>
      </c>
      <c r="O131" s="8" t="s">
        <v>140</v>
      </c>
      <c r="P131" s="8" t="s">
        <v>141</v>
      </c>
      <c r="Q131" s="8" t="s">
        <v>68</v>
      </c>
      <c r="R131" s="9">
        <v>45284</v>
      </c>
      <c r="S131" s="9">
        <v>45295</v>
      </c>
      <c r="T131" s="8" t="str">
        <f t="shared" si="2"/>
        <v>Cerrado</v>
      </c>
      <c r="U131" s="10">
        <f>IF(S131="",Listas!$I$1-B131,S131-B131)</f>
        <v>11</v>
      </c>
    </row>
    <row r="132" spans="1:21" x14ac:dyDescent="0.3">
      <c r="A132" s="8" t="s">
        <v>648</v>
      </c>
      <c r="B132" s="9">
        <v>45281</v>
      </c>
      <c r="C132" s="8" t="s">
        <v>372</v>
      </c>
      <c r="D132" s="8" t="s">
        <v>373</v>
      </c>
      <c r="E132" s="8" t="s">
        <v>125</v>
      </c>
      <c r="F132" s="8" t="s">
        <v>649</v>
      </c>
      <c r="G132" s="8" t="s">
        <v>58</v>
      </c>
      <c r="H132" s="8" t="s">
        <v>59</v>
      </c>
      <c r="I132" s="8" t="s">
        <v>650</v>
      </c>
      <c r="J132" s="8" t="s">
        <v>147</v>
      </c>
      <c r="K132" s="8" t="s">
        <v>90</v>
      </c>
      <c r="L132" s="8" t="s">
        <v>78</v>
      </c>
      <c r="M132" s="8" t="s">
        <v>64</v>
      </c>
      <c r="N132" s="8" t="s">
        <v>65</v>
      </c>
      <c r="O132" s="8" t="s">
        <v>148</v>
      </c>
      <c r="P132" s="8" t="s">
        <v>149</v>
      </c>
      <c r="Q132" s="8" t="s">
        <v>150</v>
      </c>
      <c r="R132" s="9">
        <v>45285</v>
      </c>
      <c r="S132" s="9">
        <v>45292</v>
      </c>
      <c r="T132" s="8" t="str">
        <f t="shared" si="2"/>
        <v>Cerrado</v>
      </c>
      <c r="U132" s="10">
        <f>IF(S132="",Listas!$I$1-B132,S132-B132)</f>
        <v>11</v>
      </c>
    </row>
    <row r="133" spans="1:21" x14ac:dyDescent="0.3">
      <c r="A133" s="8" t="s">
        <v>651</v>
      </c>
      <c r="B133" s="9">
        <v>45288</v>
      </c>
      <c r="C133" s="8" t="s">
        <v>652</v>
      </c>
      <c r="D133" s="8" t="s">
        <v>653</v>
      </c>
      <c r="E133" s="8" t="s">
        <v>116</v>
      </c>
      <c r="F133" s="8" t="s">
        <v>654</v>
      </c>
      <c r="G133" s="8" t="s">
        <v>167</v>
      </c>
      <c r="H133" s="8" t="s">
        <v>168</v>
      </c>
      <c r="I133" s="8" t="s">
        <v>655</v>
      </c>
      <c r="J133" s="8" t="s">
        <v>89</v>
      </c>
      <c r="K133" s="8" t="s">
        <v>62</v>
      </c>
      <c r="L133" s="8" t="s">
        <v>78</v>
      </c>
      <c r="M133" s="8" t="s">
        <v>64</v>
      </c>
      <c r="N133" s="8" t="s">
        <v>65</v>
      </c>
      <c r="O133" s="8" t="s">
        <v>91</v>
      </c>
      <c r="P133" s="8" t="s">
        <v>92</v>
      </c>
      <c r="Q133" s="8" t="s">
        <v>81</v>
      </c>
      <c r="R133" s="9">
        <v>45292</v>
      </c>
      <c r="S133" s="9">
        <v>45304</v>
      </c>
      <c r="T133" s="8" t="str">
        <f t="shared" si="2"/>
        <v>Cerrado</v>
      </c>
      <c r="U133" s="10">
        <f>IF(S133="",Listas!$I$1-B133,S133-B133)</f>
        <v>16</v>
      </c>
    </row>
    <row r="134" spans="1:21" x14ac:dyDescent="0.3">
      <c r="A134" s="8" t="s">
        <v>656</v>
      </c>
      <c r="B134" s="9">
        <v>45288</v>
      </c>
      <c r="C134" s="8" t="s">
        <v>114</v>
      </c>
      <c r="D134" s="8" t="s">
        <v>115</v>
      </c>
      <c r="E134" s="8" t="s">
        <v>116</v>
      </c>
      <c r="F134" s="8" t="s">
        <v>657</v>
      </c>
      <c r="G134" s="8" t="s">
        <v>127</v>
      </c>
      <c r="H134" s="8" t="s">
        <v>128</v>
      </c>
      <c r="I134" s="8" t="s">
        <v>658</v>
      </c>
      <c r="J134" s="8" t="s">
        <v>89</v>
      </c>
      <c r="K134" s="8" t="s">
        <v>90</v>
      </c>
      <c r="L134" s="8" t="s">
        <v>102</v>
      </c>
      <c r="M134" s="8" t="s">
        <v>64</v>
      </c>
      <c r="N134" s="8" t="s">
        <v>65</v>
      </c>
      <c r="O134" s="8" t="s">
        <v>91</v>
      </c>
      <c r="P134" s="8" t="s">
        <v>92</v>
      </c>
      <c r="Q134" s="8" t="s">
        <v>81</v>
      </c>
      <c r="R134" s="9">
        <v>45291</v>
      </c>
      <c r="S134" s="9">
        <v>45301</v>
      </c>
      <c r="T134" s="8" t="str">
        <f t="shared" si="2"/>
        <v>Cerrado</v>
      </c>
      <c r="U134" s="10">
        <f>IF(S134="",Listas!$I$1-B134,S134-B134)</f>
        <v>13</v>
      </c>
    </row>
    <row r="135" spans="1:21" x14ac:dyDescent="0.3">
      <c r="A135" s="8" t="s">
        <v>659</v>
      </c>
      <c r="B135" s="9">
        <v>45288</v>
      </c>
      <c r="C135" s="8" t="s">
        <v>315</v>
      </c>
      <c r="D135" s="8" t="s">
        <v>316</v>
      </c>
      <c r="E135" s="8" t="s">
        <v>72</v>
      </c>
      <c r="F135" s="8" t="s">
        <v>660</v>
      </c>
      <c r="G135" s="8" t="s">
        <v>127</v>
      </c>
      <c r="H135" s="8" t="s">
        <v>128</v>
      </c>
      <c r="I135" s="8" t="s">
        <v>658</v>
      </c>
      <c r="J135" s="8" t="s">
        <v>178</v>
      </c>
      <c r="K135" s="8" t="s">
        <v>90</v>
      </c>
      <c r="L135" s="8" t="s">
        <v>78</v>
      </c>
      <c r="M135" s="8" t="s">
        <v>64</v>
      </c>
      <c r="N135" s="8" t="s">
        <v>135</v>
      </c>
      <c r="O135" s="8" t="s">
        <v>179</v>
      </c>
      <c r="P135" s="8" t="s">
        <v>180</v>
      </c>
      <c r="Q135" s="8" t="s">
        <v>150</v>
      </c>
      <c r="R135" s="9">
        <v>45290</v>
      </c>
      <c r="S135" s="9">
        <v>45298</v>
      </c>
      <c r="T135" s="8" t="str">
        <f t="shared" si="2"/>
        <v>Cerrado</v>
      </c>
      <c r="U135" s="10">
        <f>IF(S135="",Listas!$I$1-B135,S135-B135)</f>
        <v>10</v>
      </c>
    </row>
    <row r="136" spans="1:21" x14ac:dyDescent="0.3">
      <c r="A136" s="8" t="s">
        <v>661</v>
      </c>
      <c r="B136" s="9">
        <v>45288</v>
      </c>
      <c r="C136" s="8" t="s">
        <v>662</v>
      </c>
      <c r="D136" s="8" t="s">
        <v>663</v>
      </c>
      <c r="E136" s="8" t="s">
        <v>116</v>
      </c>
      <c r="F136" s="8" t="s">
        <v>664</v>
      </c>
      <c r="G136" s="8" t="s">
        <v>204</v>
      </c>
      <c r="H136" s="8" t="s">
        <v>205</v>
      </c>
      <c r="I136" s="8" t="s">
        <v>655</v>
      </c>
      <c r="J136" s="8" t="s">
        <v>178</v>
      </c>
      <c r="K136" s="8" t="s">
        <v>90</v>
      </c>
      <c r="L136" s="8" t="s">
        <v>78</v>
      </c>
      <c r="M136" s="8" t="s">
        <v>64</v>
      </c>
      <c r="N136" s="8" t="s">
        <v>135</v>
      </c>
      <c r="O136" s="8" t="s">
        <v>179</v>
      </c>
      <c r="P136" s="8" t="s">
        <v>180</v>
      </c>
      <c r="Q136" s="8" t="s">
        <v>150</v>
      </c>
      <c r="R136" s="9">
        <v>45288</v>
      </c>
      <c r="S136" s="9">
        <v>45293</v>
      </c>
      <c r="T136" s="8" t="str">
        <f t="shared" si="2"/>
        <v>Cerrado</v>
      </c>
      <c r="U136" s="10">
        <f>IF(S136="",Listas!$I$1-B136,S136-B136)</f>
        <v>5</v>
      </c>
    </row>
    <row r="137" spans="1:21" x14ac:dyDescent="0.3">
      <c r="A137" s="8" t="s">
        <v>665</v>
      </c>
      <c r="B137" s="9">
        <v>45293</v>
      </c>
      <c r="C137" s="8" t="s">
        <v>220</v>
      </c>
      <c r="D137" s="8" t="s">
        <v>221</v>
      </c>
      <c r="E137" s="8" t="s">
        <v>125</v>
      </c>
      <c r="F137" s="8" t="s">
        <v>666</v>
      </c>
      <c r="G137" s="8" t="s">
        <v>392</v>
      </c>
      <c r="H137" s="8" t="s">
        <v>393</v>
      </c>
      <c r="I137" s="8" t="s">
        <v>667</v>
      </c>
      <c r="J137" s="8" t="s">
        <v>139</v>
      </c>
      <c r="K137" s="8" t="s">
        <v>62</v>
      </c>
      <c r="L137" s="8" t="s">
        <v>121</v>
      </c>
      <c r="M137" s="8" t="s">
        <v>64</v>
      </c>
      <c r="N137" s="8" t="s">
        <v>65</v>
      </c>
      <c r="O137" s="8" t="s">
        <v>140</v>
      </c>
      <c r="P137" s="8" t="s">
        <v>141</v>
      </c>
      <c r="Q137" s="8" t="s">
        <v>68</v>
      </c>
      <c r="R137" s="9">
        <v>45296</v>
      </c>
      <c r="S137" s="9">
        <v>45306</v>
      </c>
      <c r="T137" s="8" t="str">
        <f t="shared" si="2"/>
        <v>Cerrado</v>
      </c>
      <c r="U137" s="10">
        <f>IF(S137="",Listas!$I$1-B137,S137-B137)</f>
        <v>13</v>
      </c>
    </row>
    <row r="138" spans="1:21" x14ac:dyDescent="0.3">
      <c r="A138" s="8" t="s">
        <v>668</v>
      </c>
      <c r="B138" s="9">
        <v>45298</v>
      </c>
      <c r="C138" s="8" t="s">
        <v>227</v>
      </c>
      <c r="D138" s="8" t="s">
        <v>228</v>
      </c>
      <c r="E138" s="8" t="s">
        <v>72</v>
      </c>
      <c r="F138" s="8" t="s">
        <v>669</v>
      </c>
      <c r="G138" s="8" t="s">
        <v>418</v>
      </c>
      <c r="H138" s="8" t="s">
        <v>419</v>
      </c>
      <c r="I138" s="8" t="s">
        <v>670</v>
      </c>
      <c r="J138" s="8" t="s">
        <v>61</v>
      </c>
      <c r="K138" s="8" t="s">
        <v>130</v>
      </c>
      <c r="L138" s="8" t="s">
        <v>78</v>
      </c>
      <c r="M138" s="8" t="s">
        <v>64</v>
      </c>
      <c r="N138" s="8" t="s">
        <v>65</v>
      </c>
      <c r="O138" s="8" t="s">
        <v>66</v>
      </c>
      <c r="P138" s="8" t="s">
        <v>67</v>
      </c>
      <c r="Q138" s="8" t="s">
        <v>68</v>
      </c>
      <c r="R138" s="9">
        <v>45302</v>
      </c>
      <c r="S138" s="9">
        <v>45314</v>
      </c>
      <c r="T138" s="8" t="str">
        <f t="shared" si="2"/>
        <v>Cerrado</v>
      </c>
      <c r="U138" s="10">
        <f>IF(S138="",Listas!$I$1-B138,S138-B138)</f>
        <v>16</v>
      </c>
    </row>
    <row r="139" spans="1:21" x14ac:dyDescent="0.3">
      <c r="A139" s="8" t="s">
        <v>671</v>
      </c>
      <c r="B139" s="9">
        <v>45297</v>
      </c>
      <c r="C139" s="8" t="s">
        <v>341</v>
      </c>
      <c r="D139" s="8" t="s">
        <v>342</v>
      </c>
      <c r="E139" s="8" t="s">
        <v>125</v>
      </c>
      <c r="F139" s="8" t="s">
        <v>672</v>
      </c>
      <c r="G139" s="8" t="s">
        <v>361</v>
      </c>
      <c r="H139" s="8" t="s">
        <v>362</v>
      </c>
      <c r="I139" s="8" t="s">
        <v>673</v>
      </c>
      <c r="J139" s="8" t="s">
        <v>101</v>
      </c>
      <c r="K139" s="8" t="s">
        <v>130</v>
      </c>
      <c r="L139" s="8" t="s">
        <v>121</v>
      </c>
      <c r="M139" s="8" t="s">
        <v>64</v>
      </c>
      <c r="N139" s="8" t="s">
        <v>65</v>
      </c>
      <c r="O139" s="8" t="s">
        <v>103</v>
      </c>
      <c r="P139" s="8" t="s">
        <v>104</v>
      </c>
      <c r="Q139" s="8" t="s">
        <v>68</v>
      </c>
      <c r="R139" s="9">
        <v>45297</v>
      </c>
      <c r="S139" s="9">
        <v>45307</v>
      </c>
      <c r="T139" s="8" t="str">
        <f t="shared" si="2"/>
        <v>Cerrado</v>
      </c>
      <c r="U139" s="10">
        <f>IF(S139="",Listas!$I$1-B139,S139-B139)</f>
        <v>10</v>
      </c>
    </row>
    <row r="140" spans="1:21" x14ac:dyDescent="0.3">
      <c r="A140" s="8" t="s">
        <v>674</v>
      </c>
      <c r="B140" s="9">
        <v>45303</v>
      </c>
      <c r="C140" s="8" t="s">
        <v>323</v>
      </c>
      <c r="D140" s="8" t="s">
        <v>324</v>
      </c>
      <c r="E140" s="8" t="s">
        <v>125</v>
      </c>
      <c r="F140" s="8" t="s">
        <v>675</v>
      </c>
      <c r="G140" s="8" t="s">
        <v>109</v>
      </c>
      <c r="H140" s="8" t="s">
        <v>110</v>
      </c>
      <c r="I140" s="8" t="s">
        <v>676</v>
      </c>
      <c r="J140" s="8" t="s">
        <v>139</v>
      </c>
      <c r="K140" s="8" t="s">
        <v>62</v>
      </c>
      <c r="L140" s="8" t="s">
        <v>78</v>
      </c>
      <c r="M140" s="8" t="s">
        <v>64</v>
      </c>
      <c r="N140" s="8" t="s">
        <v>65</v>
      </c>
      <c r="O140" s="8" t="s">
        <v>140</v>
      </c>
      <c r="P140" s="8" t="s">
        <v>141</v>
      </c>
      <c r="Q140" s="8" t="s">
        <v>68</v>
      </c>
      <c r="R140" s="9">
        <v>45307</v>
      </c>
      <c r="S140" s="9">
        <v>45313</v>
      </c>
      <c r="T140" s="8" t="str">
        <f t="shared" si="2"/>
        <v>Cerrado</v>
      </c>
      <c r="U140" s="10">
        <f>IF(S140="",Listas!$I$1-B140,S140-B140)</f>
        <v>10</v>
      </c>
    </row>
    <row r="141" spans="1:21" x14ac:dyDescent="0.3">
      <c r="A141" s="8" t="s">
        <v>677</v>
      </c>
      <c r="B141" s="9">
        <v>45310</v>
      </c>
      <c r="C141" s="8" t="s">
        <v>315</v>
      </c>
      <c r="D141" s="8" t="s">
        <v>316</v>
      </c>
      <c r="E141" s="8" t="s">
        <v>72</v>
      </c>
      <c r="F141" s="8" t="s">
        <v>678</v>
      </c>
      <c r="G141" s="8" t="s">
        <v>98</v>
      </c>
      <c r="H141" s="8" t="s">
        <v>99</v>
      </c>
      <c r="I141" s="8" t="s">
        <v>679</v>
      </c>
      <c r="J141" s="8" t="s">
        <v>89</v>
      </c>
      <c r="K141" s="8" t="s">
        <v>112</v>
      </c>
      <c r="L141" s="8" t="s">
        <v>102</v>
      </c>
      <c r="M141" s="8" t="s">
        <v>64</v>
      </c>
      <c r="N141" s="8" t="s">
        <v>65</v>
      </c>
      <c r="O141" s="8" t="s">
        <v>91</v>
      </c>
      <c r="P141" s="8" t="s">
        <v>92</v>
      </c>
      <c r="Q141" s="8" t="s">
        <v>81</v>
      </c>
      <c r="R141" s="9">
        <v>45313</v>
      </c>
      <c r="S141" s="9">
        <v>45321</v>
      </c>
      <c r="T141" s="8" t="str">
        <f t="shared" si="2"/>
        <v>Cerrado</v>
      </c>
      <c r="U141" s="10">
        <f>IF(S141="",Listas!$I$1-B141,S141-B141)</f>
        <v>11</v>
      </c>
    </row>
    <row r="142" spans="1:21" x14ac:dyDescent="0.3">
      <c r="A142" s="8" t="s">
        <v>680</v>
      </c>
      <c r="B142" s="9">
        <v>45310</v>
      </c>
      <c r="C142" s="8" t="s">
        <v>681</v>
      </c>
      <c r="D142" s="8" t="s">
        <v>682</v>
      </c>
      <c r="E142" s="8" t="s">
        <v>116</v>
      </c>
      <c r="F142" s="8" t="s">
        <v>683</v>
      </c>
      <c r="G142" s="8" t="s">
        <v>197</v>
      </c>
      <c r="H142" s="8" t="s">
        <v>198</v>
      </c>
      <c r="I142" s="8" t="s">
        <v>684</v>
      </c>
      <c r="J142" s="8" t="s">
        <v>139</v>
      </c>
      <c r="K142" s="8" t="s">
        <v>90</v>
      </c>
      <c r="L142" s="8" t="s">
        <v>63</v>
      </c>
      <c r="M142" s="8" t="s">
        <v>64</v>
      </c>
      <c r="N142" s="8" t="s">
        <v>135</v>
      </c>
      <c r="O142" s="8" t="s">
        <v>140</v>
      </c>
      <c r="P142" s="8" t="s">
        <v>141</v>
      </c>
      <c r="Q142" s="8" t="s">
        <v>68</v>
      </c>
      <c r="R142" s="9">
        <v>45312</v>
      </c>
      <c r="S142" s="9">
        <v>45323</v>
      </c>
      <c r="T142" s="8" t="str">
        <f t="shared" si="2"/>
        <v>Cerrado</v>
      </c>
      <c r="U142" s="10">
        <f>IF(S142="",Listas!$I$1-B142,S142-B142)</f>
        <v>13</v>
      </c>
    </row>
    <row r="143" spans="1:21" x14ac:dyDescent="0.3">
      <c r="A143" s="8" t="s">
        <v>685</v>
      </c>
      <c r="B143" s="9">
        <v>45307</v>
      </c>
      <c r="C143" s="8" t="s">
        <v>463</v>
      </c>
      <c r="D143" s="8" t="s">
        <v>464</v>
      </c>
      <c r="E143" s="8" t="s">
        <v>72</v>
      </c>
      <c r="F143" s="8" t="s">
        <v>686</v>
      </c>
      <c r="G143" s="8" t="s">
        <v>223</v>
      </c>
      <c r="H143" s="8" t="s">
        <v>224</v>
      </c>
      <c r="I143" s="8" t="s">
        <v>687</v>
      </c>
      <c r="J143" s="8" t="s">
        <v>178</v>
      </c>
      <c r="K143" s="8" t="s">
        <v>90</v>
      </c>
      <c r="L143" s="8" t="s">
        <v>63</v>
      </c>
      <c r="M143" s="8" t="s">
        <v>64</v>
      </c>
      <c r="N143" s="8" t="s">
        <v>135</v>
      </c>
      <c r="O143" s="8" t="s">
        <v>179</v>
      </c>
      <c r="P143" s="8" t="s">
        <v>180</v>
      </c>
      <c r="Q143" s="8" t="s">
        <v>150</v>
      </c>
      <c r="R143" s="9">
        <v>45311</v>
      </c>
      <c r="S143" s="9">
        <v>45320</v>
      </c>
      <c r="T143" s="8" t="str">
        <f t="shared" si="2"/>
        <v>Cerrado</v>
      </c>
      <c r="U143" s="10">
        <f>IF(S143="",Listas!$I$1-B143,S143-B143)</f>
        <v>13</v>
      </c>
    </row>
    <row r="144" spans="1:21" x14ac:dyDescent="0.3">
      <c r="A144" s="8" t="s">
        <v>688</v>
      </c>
      <c r="B144" s="9">
        <v>45313</v>
      </c>
      <c r="C144" s="8" t="s">
        <v>689</v>
      </c>
      <c r="D144" s="8" t="s">
        <v>690</v>
      </c>
      <c r="E144" s="8" t="s">
        <v>96</v>
      </c>
      <c r="F144" s="8" t="s">
        <v>691</v>
      </c>
      <c r="G144" s="8" t="s">
        <v>211</v>
      </c>
      <c r="H144" s="8" t="s">
        <v>212</v>
      </c>
      <c r="I144" s="8" t="s">
        <v>692</v>
      </c>
      <c r="J144" s="8" t="s">
        <v>61</v>
      </c>
      <c r="K144" s="8" t="s">
        <v>62</v>
      </c>
      <c r="L144" s="8" t="s">
        <v>63</v>
      </c>
      <c r="M144" s="8" t="s">
        <v>64</v>
      </c>
      <c r="N144" s="8" t="s">
        <v>65</v>
      </c>
      <c r="O144" s="8" t="s">
        <v>66</v>
      </c>
      <c r="P144" s="8" t="s">
        <v>67</v>
      </c>
      <c r="Q144" s="8" t="s">
        <v>68</v>
      </c>
      <c r="R144" s="9">
        <v>45317</v>
      </c>
      <c r="S144" s="9">
        <v>45330</v>
      </c>
      <c r="T144" s="8" t="str">
        <f t="shared" si="2"/>
        <v>Cerrado</v>
      </c>
      <c r="U144" s="10">
        <f>IF(S144="",Listas!$I$1-B144,S144-B144)</f>
        <v>17</v>
      </c>
    </row>
    <row r="145" spans="1:21" x14ac:dyDescent="0.3">
      <c r="A145" s="8" t="s">
        <v>693</v>
      </c>
      <c r="B145" s="9">
        <v>45309</v>
      </c>
      <c r="C145" s="8" t="s">
        <v>550</v>
      </c>
      <c r="D145" s="8" t="s">
        <v>551</v>
      </c>
      <c r="E145" s="8" t="s">
        <v>72</v>
      </c>
      <c r="F145" s="8" t="s">
        <v>694</v>
      </c>
      <c r="G145" s="8" t="s">
        <v>118</v>
      </c>
      <c r="H145" s="8" t="s">
        <v>119</v>
      </c>
      <c r="I145" s="8" t="s">
        <v>695</v>
      </c>
      <c r="J145" s="8" t="s">
        <v>147</v>
      </c>
      <c r="K145" s="8" t="s">
        <v>112</v>
      </c>
      <c r="L145" s="8" t="s">
        <v>78</v>
      </c>
      <c r="M145" s="8" t="s">
        <v>64</v>
      </c>
      <c r="N145" s="8" t="s">
        <v>135</v>
      </c>
      <c r="O145" s="8" t="s">
        <v>148</v>
      </c>
      <c r="P145" s="8" t="s">
        <v>149</v>
      </c>
      <c r="Q145" s="8" t="s">
        <v>150</v>
      </c>
      <c r="R145" s="9">
        <v>45310</v>
      </c>
      <c r="S145" s="9">
        <v>45320</v>
      </c>
      <c r="T145" s="8" t="str">
        <f t="shared" si="2"/>
        <v>Cerrado</v>
      </c>
      <c r="U145" s="10">
        <f>IF(S145="",Listas!$I$1-B145,S145-B145)</f>
        <v>11</v>
      </c>
    </row>
    <row r="146" spans="1:21" x14ac:dyDescent="0.3">
      <c r="A146" s="8" t="s">
        <v>696</v>
      </c>
      <c r="B146" s="9">
        <v>45311</v>
      </c>
      <c r="C146" s="8" t="s">
        <v>271</v>
      </c>
      <c r="D146" s="8" t="s">
        <v>272</v>
      </c>
      <c r="E146" s="8" t="s">
        <v>116</v>
      </c>
      <c r="F146" s="8" t="s">
        <v>697</v>
      </c>
      <c r="G146" s="8" t="s">
        <v>361</v>
      </c>
      <c r="H146" s="8" t="s">
        <v>362</v>
      </c>
      <c r="I146" s="8" t="s">
        <v>698</v>
      </c>
      <c r="J146" s="8" t="s">
        <v>77</v>
      </c>
      <c r="K146" s="8" t="s">
        <v>112</v>
      </c>
      <c r="L146" s="8" t="s">
        <v>121</v>
      </c>
      <c r="M146" s="8" t="s">
        <v>64</v>
      </c>
      <c r="N146" s="8" t="s">
        <v>65</v>
      </c>
      <c r="O146" s="8" t="s">
        <v>79</v>
      </c>
      <c r="P146" s="8" t="s">
        <v>80</v>
      </c>
      <c r="Q146" s="8" t="s">
        <v>81</v>
      </c>
      <c r="R146" s="9">
        <v>45313</v>
      </c>
      <c r="S146" s="9">
        <v>45329</v>
      </c>
      <c r="T146" s="8" t="str">
        <f t="shared" si="2"/>
        <v>Cerrado</v>
      </c>
      <c r="U146" s="10">
        <f>IF(S146="",Listas!$I$1-B146,S146-B146)</f>
        <v>18</v>
      </c>
    </row>
    <row r="147" spans="1:21" x14ac:dyDescent="0.3">
      <c r="A147" s="8" t="s">
        <v>699</v>
      </c>
      <c r="B147" s="9">
        <v>45314</v>
      </c>
      <c r="C147" s="8" t="s">
        <v>583</v>
      </c>
      <c r="D147" s="8" t="s">
        <v>584</v>
      </c>
      <c r="E147" s="8" t="s">
        <v>116</v>
      </c>
      <c r="F147" s="8" t="s">
        <v>700</v>
      </c>
      <c r="G147" s="8" t="s">
        <v>242</v>
      </c>
      <c r="H147" s="8" t="s">
        <v>243</v>
      </c>
      <c r="I147" s="8" t="s">
        <v>701</v>
      </c>
      <c r="J147" s="8" t="s">
        <v>89</v>
      </c>
      <c r="K147" s="8" t="s">
        <v>90</v>
      </c>
      <c r="L147" s="8" t="s">
        <v>63</v>
      </c>
      <c r="M147" s="8" t="s">
        <v>64</v>
      </c>
      <c r="N147" s="8" t="s">
        <v>65</v>
      </c>
      <c r="O147" s="8" t="s">
        <v>91</v>
      </c>
      <c r="P147" s="8" t="s">
        <v>92</v>
      </c>
      <c r="Q147" s="8" t="s">
        <v>81</v>
      </c>
      <c r="R147" s="9">
        <v>45316</v>
      </c>
      <c r="S147" s="9">
        <v>45324</v>
      </c>
      <c r="T147" s="8" t="str">
        <f t="shared" si="2"/>
        <v>Cerrado</v>
      </c>
      <c r="U147" s="10">
        <f>IF(S147="",Listas!$I$1-B147,S147-B147)</f>
        <v>10</v>
      </c>
    </row>
    <row r="148" spans="1:21" x14ac:dyDescent="0.3">
      <c r="A148" s="8" t="s">
        <v>702</v>
      </c>
      <c r="B148" s="9">
        <v>45313</v>
      </c>
      <c r="C148" s="8" t="s">
        <v>189</v>
      </c>
      <c r="D148" s="8" t="s">
        <v>190</v>
      </c>
      <c r="E148" s="8" t="s">
        <v>72</v>
      </c>
      <c r="F148" s="8" t="s">
        <v>703</v>
      </c>
      <c r="G148" s="8" t="s">
        <v>160</v>
      </c>
      <c r="H148" s="8" t="s">
        <v>161</v>
      </c>
      <c r="I148" s="8" t="s">
        <v>704</v>
      </c>
      <c r="J148" s="8" t="s">
        <v>101</v>
      </c>
      <c r="K148" s="8" t="s">
        <v>62</v>
      </c>
      <c r="L148" s="8" t="s">
        <v>102</v>
      </c>
      <c r="M148" s="8" t="s">
        <v>64</v>
      </c>
      <c r="N148" s="8" t="s">
        <v>65</v>
      </c>
      <c r="O148" s="8" t="s">
        <v>103</v>
      </c>
      <c r="P148" s="8" t="s">
        <v>104</v>
      </c>
      <c r="Q148" s="8" t="s">
        <v>68</v>
      </c>
      <c r="R148" s="9">
        <v>45313</v>
      </c>
      <c r="S148" s="9">
        <v>45326</v>
      </c>
      <c r="T148" s="8" t="str">
        <f t="shared" si="2"/>
        <v>Cerrado</v>
      </c>
      <c r="U148" s="10">
        <f>IF(S148="",Listas!$I$1-B148,S148-B148)</f>
        <v>13</v>
      </c>
    </row>
    <row r="149" spans="1:21" x14ac:dyDescent="0.3">
      <c r="A149" s="8" t="s">
        <v>705</v>
      </c>
      <c r="B149" s="9">
        <v>45318</v>
      </c>
      <c r="C149" s="8" t="s">
        <v>246</v>
      </c>
      <c r="D149" s="8" t="s">
        <v>247</v>
      </c>
      <c r="E149" s="8" t="s">
        <v>125</v>
      </c>
      <c r="F149" s="8" t="s">
        <v>706</v>
      </c>
      <c r="G149" s="8" t="s">
        <v>211</v>
      </c>
      <c r="H149" s="8" t="s">
        <v>212</v>
      </c>
      <c r="I149" s="8" t="s">
        <v>707</v>
      </c>
      <c r="J149" s="8" t="s">
        <v>147</v>
      </c>
      <c r="K149" s="8" t="s">
        <v>62</v>
      </c>
      <c r="L149" s="8" t="s">
        <v>121</v>
      </c>
      <c r="M149" s="8" t="s">
        <v>64</v>
      </c>
      <c r="N149" s="8" t="s">
        <v>135</v>
      </c>
      <c r="O149" s="8" t="s">
        <v>148</v>
      </c>
      <c r="P149" s="8" t="s">
        <v>149</v>
      </c>
      <c r="Q149" s="8" t="s">
        <v>150</v>
      </c>
      <c r="R149" s="9">
        <v>45322</v>
      </c>
      <c r="S149" s="9">
        <v>45337</v>
      </c>
      <c r="T149" s="8" t="str">
        <f t="shared" si="2"/>
        <v>Cerrado</v>
      </c>
      <c r="U149" s="10">
        <f>IF(S149="",Listas!$I$1-B149,S149-B149)</f>
        <v>19</v>
      </c>
    </row>
    <row r="150" spans="1:21" x14ac:dyDescent="0.3">
      <c r="A150" s="8" t="s">
        <v>708</v>
      </c>
      <c r="B150" s="9">
        <v>45322</v>
      </c>
      <c r="C150" s="8" t="s">
        <v>106</v>
      </c>
      <c r="D150" s="8" t="s">
        <v>107</v>
      </c>
      <c r="E150" s="8" t="s">
        <v>96</v>
      </c>
      <c r="F150" s="8" t="s">
        <v>709</v>
      </c>
      <c r="G150" s="8" t="s">
        <v>74</v>
      </c>
      <c r="H150" s="8" t="s">
        <v>75</v>
      </c>
      <c r="I150" s="8" t="s">
        <v>710</v>
      </c>
      <c r="J150" s="8" t="s">
        <v>178</v>
      </c>
      <c r="K150" s="8" t="s">
        <v>112</v>
      </c>
      <c r="L150" s="8" t="s">
        <v>78</v>
      </c>
      <c r="M150" s="8" t="s">
        <v>64</v>
      </c>
      <c r="N150" s="8" t="s">
        <v>65</v>
      </c>
      <c r="O150" s="8" t="s">
        <v>179</v>
      </c>
      <c r="P150" s="8" t="s">
        <v>180</v>
      </c>
      <c r="Q150" s="8" t="s">
        <v>150</v>
      </c>
      <c r="R150" s="9">
        <v>45326</v>
      </c>
      <c r="S150" s="9">
        <v>45329</v>
      </c>
      <c r="T150" s="8" t="str">
        <f t="shared" si="2"/>
        <v>Cerrado</v>
      </c>
      <c r="U150" s="10">
        <f>IF(S150="",Listas!$I$1-B150,S150-B150)</f>
        <v>7</v>
      </c>
    </row>
    <row r="151" spans="1:21" x14ac:dyDescent="0.3">
      <c r="A151" s="8" t="s">
        <v>711</v>
      </c>
      <c r="B151" s="9">
        <v>45326</v>
      </c>
      <c r="C151" s="8" t="s">
        <v>348</v>
      </c>
      <c r="D151" s="8" t="s">
        <v>349</v>
      </c>
      <c r="E151" s="8" t="s">
        <v>125</v>
      </c>
      <c r="F151" s="8" t="s">
        <v>712</v>
      </c>
      <c r="G151" s="8" t="s">
        <v>127</v>
      </c>
      <c r="H151" s="8" t="s">
        <v>128</v>
      </c>
      <c r="I151" s="8" t="s">
        <v>713</v>
      </c>
      <c r="J151" s="8" t="s">
        <v>178</v>
      </c>
      <c r="K151" s="8" t="s">
        <v>90</v>
      </c>
      <c r="L151" s="8" t="s">
        <v>78</v>
      </c>
      <c r="M151" s="8" t="s">
        <v>64</v>
      </c>
      <c r="N151" s="8" t="s">
        <v>135</v>
      </c>
      <c r="O151" s="8" t="s">
        <v>179</v>
      </c>
      <c r="P151" s="8" t="s">
        <v>180</v>
      </c>
      <c r="Q151" s="8" t="s">
        <v>150</v>
      </c>
      <c r="R151" s="9">
        <v>45328</v>
      </c>
      <c r="S151" s="9">
        <v>45340</v>
      </c>
      <c r="T151" s="8" t="str">
        <f t="shared" si="2"/>
        <v>Cerrado</v>
      </c>
      <c r="U151" s="10">
        <f>IF(S151="",Listas!$I$1-B151,S151-B151)</f>
        <v>14</v>
      </c>
    </row>
    <row r="152" spans="1:21" x14ac:dyDescent="0.3">
      <c r="A152" s="8" t="s">
        <v>714</v>
      </c>
      <c r="B152" s="9">
        <v>45327</v>
      </c>
      <c r="C152" s="8" t="s">
        <v>157</v>
      </c>
      <c r="D152" s="8" t="s">
        <v>158</v>
      </c>
      <c r="E152" s="8" t="s">
        <v>116</v>
      </c>
      <c r="F152" s="8" t="s">
        <v>715</v>
      </c>
      <c r="G152" s="8" t="s">
        <v>160</v>
      </c>
      <c r="H152" s="8" t="s">
        <v>161</v>
      </c>
      <c r="I152" s="8" t="s">
        <v>716</v>
      </c>
      <c r="J152" s="8" t="s">
        <v>147</v>
      </c>
      <c r="K152" s="8" t="s">
        <v>62</v>
      </c>
      <c r="L152" s="8" t="s">
        <v>102</v>
      </c>
      <c r="M152" s="8" t="s">
        <v>64</v>
      </c>
      <c r="N152" s="8" t="s">
        <v>65</v>
      </c>
      <c r="O152" s="8" t="s">
        <v>148</v>
      </c>
      <c r="P152" s="8" t="s">
        <v>149</v>
      </c>
      <c r="Q152" s="8" t="s">
        <v>150</v>
      </c>
      <c r="R152" s="9">
        <v>45331</v>
      </c>
      <c r="S152" s="9">
        <v>45342</v>
      </c>
      <c r="T152" s="8" t="str">
        <f t="shared" si="2"/>
        <v>Cerrado</v>
      </c>
      <c r="U152" s="10">
        <f>IF(S152="",Listas!$I$1-B152,S152-B152)</f>
        <v>15</v>
      </c>
    </row>
    <row r="153" spans="1:21" x14ac:dyDescent="0.3">
      <c r="A153" s="8" t="s">
        <v>717</v>
      </c>
      <c r="B153" s="9">
        <v>45330</v>
      </c>
      <c r="C153" s="8" t="s">
        <v>323</v>
      </c>
      <c r="D153" s="8" t="s">
        <v>324</v>
      </c>
      <c r="E153" s="8" t="s">
        <v>125</v>
      </c>
      <c r="F153" s="8" t="s">
        <v>718</v>
      </c>
      <c r="G153" s="8" t="s">
        <v>211</v>
      </c>
      <c r="H153" s="8" t="s">
        <v>212</v>
      </c>
      <c r="I153" s="8" t="s">
        <v>719</v>
      </c>
      <c r="J153" s="8" t="s">
        <v>61</v>
      </c>
      <c r="K153" s="8" t="s">
        <v>62</v>
      </c>
      <c r="L153" s="8" t="s">
        <v>102</v>
      </c>
      <c r="M153" s="8" t="s">
        <v>64</v>
      </c>
      <c r="N153" s="8" t="s">
        <v>65</v>
      </c>
      <c r="O153" s="8" t="s">
        <v>66</v>
      </c>
      <c r="P153" s="8" t="s">
        <v>67</v>
      </c>
      <c r="Q153" s="8" t="s">
        <v>68</v>
      </c>
      <c r="R153" s="9">
        <v>45332</v>
      </c>
      <c r="S153" s="9">
        <v>45342</v>
      </c>
      <c r="T153" s="8" t="str">
        <f t="shared" si="2"/>
        <v>Cerrado</v>
      </c>
      <c r="U153" s="10">
        <f>IF(S153="",Listas!$I$1-B153,S153-B153)</f>
        <v>12</v>
      </c>
    </row>
    <row r="154" spans="1:21" x14ac:dyDescent="0.3">
      <c r="A154" s="8" t="s">
        <v>720</v>
      </c>
      <c r="B154" s="9">
        <v>45335</v>
      </c>
      <c r="C154" s="8" t="s">
        <v>721</v>
      </c>
      <c r="D154" s="8" t="s">
        <v>722</v>
      </c>
      <c r="E154" s="8" t="s">
        <v>96</v>
      </c>
      <c r="F154" s="8" t="s">
        <v>723</v>
      </c>
      <c r="G154" s="8" t="s">
        <v>127</v>
      </c>
      <c r="H154" s="8" t="s">
        <v>128</v>
      </c>
      <c r="I154" s="8" t="s">
        <v>724</v>
      </c>
      <c r="J154" s="8" t="s">
        <v>178</v>
      </c>
      <c r="K154" s="8" t="s">
        <v>130</v>
      </c>
      <c r="L154" s="8" t="s">
        <v>121</v>
      </c>
      <c r="M154" s="8" t="s">
        <v>64</v>
      </c>
      <c r="N154" s="8" t="s">
        <v>65</v>
      </c>
      <c r="O154" s="8" t="s">
        <v>179</v>
      </c>
      <c r="P154" s="8" t="s">
        <v>180</v>
      </c>
      <c r="Q154" s="8" t="s">
        <v>150</v>
      </c>
      <c r="R154" s="9">
        <v>45338</v>
      </c>
      <c r="S154" s="9">
        <v>45351</v>
      </c>
      <c r="T154" s="8" t="str">
        <f t="shared" si="2"/>
        <v>Cerrado</v>
      </c>
      <c r="U154" s="10">
        <f>IF(S154="",Listas!$I$1-B154,S154-B154)</f>
        <v>16</v>
      </c>
    </row>
    <row r="155" spans="1:21" x14ac:dyDescent="0.3">
      <c r="A155" s="8" t="s">
        <v>725</v>
      </c>
      <c r="B155" s="9">
        <v>45337</v>
      </c>
      <c r="C155" s="8" t="s">
        <v>220</v>
      </c>
      <c r="D155" s="8" t="s">
        <v>221</v>
      </c>
      <c r="E155" s="8" t="s">
        <v>125</v>
      </c>
      <c r="F155" s="8" t="s">
        <v>726</v>
      </c>
      <c r="G155" s="8" t="s">
        <v>459</v>
      </c>
      <c r="H155" s="8" t="s">
        <v>460</v>
      </c>
      <c r="I155" s="8" t="s">
        <v>727</v>
      </c>
      <c r="J155" s="8" t="s">
        <v>101</v>
      </c>
      <c r="K155" s="8" t="s">
        <v>62</v>
      </c>
      <c r="L155" s="8" t="s">
        <v>63</v>
      </c>
      <c r="M155" s="8" t="s">
        <v>64</v>
      </c>
      <c r="N155" s="8" t="s">
        <v>135</v>
      </c>
      <c r="O155" s="8" t="s">
        <v>103</v>
      </c>
      <c r="P155" s="8" t="s">
        <v>104</v>
      </c>
      <c r="Q155" s="8" t="s">
        <v>68</v>
      </c>
      <c r="R155" s="9">
        <v>45339</v>
      </c>
      <c r="S155" s="9">
        <v>45352</v>
      </c>
      <c r="T155" s="8" t="str">
        <f t="shared" si="2"/>
        <v>Cerrado</v>
      </c>
      <c r="U155" s="10">
        <f>IF(S155="",Listas!$I$1-B155,S155-B155)</f>
        <v>15</v>
      </c>
    </row>
    <row r="156" spans="1:21" x14ac:dyDescent="0.3">
      <c r="A156" s="8" t="s">
        <v>728</v>
      </c>
      <c r="B156" s="9">
        <v>45347</v>
      </c>
      <c r="C156" s="8" t="s">
        <v>182</v>
      </c>
      <c r="D156" s="8" t="s">
        <v>183</v>
      </c>
      <c r="E156" s="8" t="s">
        <v>72</v>
      </c>
      <c r="F156" s="8" t="s">
        <v>729</v>
      </c>
      <c r="G156" s="8" t="s">
        <v>98</v>
      </c>
      <c r="H156" s="8" t="s">
        <v>99</v>
      </c>
      <c r="I156" s="8" t="s">
        <v>730</v>
      </c>
      <c r="J156" s="8" t="s">
        <v>178</v>
      </c>
      <c r="K156" s="8" t="s">
        <v>90</v>
      </c>
      <c r="L156" s="8" t="s">
        <v>63</v>
      </c>
      <c r="M156" s="8" t="s">
        <v>64</v>
      </c>
      <c r="N156" s="8" t="s">
        <v>65</v>
      </c>
      <c r="O156" s="8" t="s">
        <v>179</v>
      </c>
      <c r="P156" s="8" t="s">
        <v>180</v>
      </c>
      <c r="Q156" s="8" t="s">
        <v>150</v>
      </c>
      <c r="R156" s="9">
        <v>45349</v>
      </c>
      <c r="S156" s="9">
        <v>45363</v>
      </c>
      <c r="T156" s="8" t="str">
        <f t="shared" si="2"/>
        <v>Cerrado</v>
      </c>
      <c r="U156" s="10">
        <f>IF(S156="",Listas!$I$1-B156,S156-B156)</f>
        <v>16</v>
      </c>
    </row>
    <row r="157" spans="1:21" x14ac:dyDescent="0.3">
      <c r="A157" s="8" t="s">
        <v>731</v>
      </c>
      <c r="B157" s="9">
        <v>45349</v>
      </c>
      <c r="C157" s="8" t="s">
        <v>123</v>
      </c>
      <c r="D157" s="8" t="s">
        <v>124</v>
      </c>
      <c r="E157" s="8" t="s">
        <v>125</v>
      </c>
      <c r="F157" s="8" t="s">
        <v>732</v>
      </c>
      <c r="G157" s="8" t="s">
        <v>197</v>
      </c>
      <c r="H157" s="8" t="s">
        <v>198</v>
      </c>
      <c r="I157" s="8" t="s">
        <v>733</v>
      </c>
      <c r="J157" s="8" t="s">
        <v>178</v>
      </c>
      <c r="K157" s="8" t="s">
        <v>90</v>
      </c>
      <c r="L157" s="8" t="s">
        <v>78</v>
      </c>
      <c r="M157" s="8" t="s">
        <v>64</v>
      </c>
      <c r="N157" s="8" t="s">
        <v>65</v>
      </c>
      <c r="O157" s="8" t="s">
        <v>179</v>
      </c>
      <c r="P157" s="8" t="s">
        <v>180</v>
      </c>
      <c r="Q157" s="8" t="s">
        <v>150</v>
      </c>
      <c r="R157" s="9">
        <v>45350</v>
      </c>
      <c r="S157" s="9">
        <v>45365</v>
      </c>
      <c r="T157" s="8" t="str">
        <f t="shared" si="2"/>
        <v>Cerrado</v>
      </c>
      <c r="U157" s="10">
        <f>IF(S157="",Listas!$I$1-B157,S157-B157)</f>
        <v>16</v>
      </c>
    </row>
    <row r="158" spans="1:21" x14ac:dyDescent="0.3">
      <c r="A158" s="8" t="s">
        <v>734</v>
      </c>
      <c r="B158" s="9">
        <v>45350</v>
      </c>
      <c r="C158" s="8" t="s">
        <v>114</v>
      </c>
      <c r="D158" s="8" t="s">
        <v>115</v>
      </c>
      <c r="E158" s="8" t="s">
        <v>116</v>
      </c>
      <c r="F158" s="8" t="s">
        <v>735</v>
      </c>
      <c r="G158" s="8" t="s">
        <v>334</v>
      </c>
      <c r="H158" s="8" t="s">
        <v>335</v>
      </c>
      <c r="I158" s="8" t="s">
        <v>736</v>
      </c>
      <c r="J158" s="8" t="s">
        <v>61</v>
      </c>
      <c r="K158" s="8" t="s">
        <v>90</v>
      </c>
      <c r="L158" s="8" t="s">
        <v>121</v>
      </c>
      <c r="M158" s="8" t="s">
        <v>64</v>
      </c>
      <c r="N158" s="8" t="s">
        <v>65</v>
      </c>
      <c r="O158" s="8" t="s">
        <v>66</v>
      </c>
      <c r="P158" s="8" t="s">
        <v>67</v>
      </c>
      <c r="Q158" s="8" t="s">
        <v>68</v>
      </c>
      <c r="R158" s="9">
        <v>45350</v>
      </c>
      <c r="S158" s="9">
        <v>45367</v>
      </c>
      <c r="T158" s="8" t="str">
        <f t="shared" si="2"/>
        <v>Cerrado</v>
      </c>
      <c r="U158" s="10">
        <f>IF(S158="",Listas!$I$1-B158,S158-B158)</f>
        <v>17</v>
      </c>
    </row>
    <row r="159" spans="1:21" x14ac:dyDescent="0.3">
      <c r="A159" s="8" t="s">
        <v>737</v>
      </c>
      <c r="B159" s="9">
        <v>45351</v>
      </c>
      <c r="C159" s="8" t="s">
        <v>641</v>
      </c>
      <c r="D159" s="8" t="s">
        <v>642</v>
      </c>
      <c r="E159" s="8" t="s">
        <v>72</v>
      </c>
      <c r="F159" s="8" t="s">
        <v>738</v>
      </c>
      <c r="G159" s="8" t="s">
        <v>74</v>
      </c>
      <c r="H159" s="8" t="s">
        <v>75</v>
      </c>
      <c r="I159" s="8" t="s">
        <v>739</v>
      </c>
      <c r="J159" s="8" t="s">
        <v>61</v>
      </c>
      <c r="K159" s="8" t="s">
        <v>62</v>
      </c>
      <c r="L159" s="8" t="s">
        <v>78</v>
      </c>
      <c r="M159" s="8" t="s">
        <v>64</v>
      </c>
      <c r="N159" s="8" t="s">
        <v>65</v>
      </c>
      <c r="O159" s="8" t="s">
        <v>66</v>
      </c>
      <c r="P159" s="8" t="s">
        <v>67</v>
      </c>
      <c r="Q159" s="8" t="s">
        <v>68</v>
      </c>
      <c r="R159" s="9">
        <v>45354</v>
      </c>
      <c r="S159" s="9">
        <v>45357</v>
      </c>
      <c r="T159" s="8" t="str">
        <f t="shared" si="2"/>
        <v>Cerrado</v>
      </c>
      <c r="U159" s="10">
        <f>IF(S159="",Listas!$I$1-B159,S159-B159)</f>
        <v>6</v>
      </c>
    </row>
    <row r="160" spans="1:21" x14ac:dyDescent="0.3">
      <c r="A160" s="8" t="s">
        <v>740</v>
      </c>
      <c r="B160" s="9">
        <v>45355</v>
      </c>
      <c r="C160" s="8" t="s">
        <v>404</v>
      </c>
      <c r="D160" s="8" t="s">
        <v>405</v>
      </c>
      <c r="E160" s="8" t="s">
        <v>96</v>
      </c>
      <c r="F160" s="8" t="s">
        <v>741</v>
      </c>
      <c r="G160" s="8" t="s">
        <v>308</v>
      </c>
      <c r="H160" s="8" t="s">
        <v>309</v>
      </c>
      <c r="I160" s="8" t="s">
        <v>742</v>
      </c>
      <c r="J160" s="8" t="s">
        <v>89</v>
      </c>
      <c r="K160" s="8" t="s">
        <v>62</v>
      </c>
      <c r="L160" s="8" t="s">
        <v>63</v>
      </c>
      <c r="M160" s="8" t="s">
        <v>64</v>
      </c>
      <c r="N160" s="8" t="s">
        <v>65</v>
      </c>
      <c r="O160" s="8" t="s">
        <v>91</v>
      </c>
      <c r="P160" s="8" t="s">
        <v>92</v>
      </c>
      <c r="Q160" s="8" t="s">
        <v>81</v>
      </c>
      <c r="R160" s="9">
        <v>45358</v>
      </c>
      <c r="S160" s="9">
        <v>45372</v>
      </c>
      <c r="T160" s="8" t="str">
        <f t="shared" si="2"/>
        <v>Cerrado</v>
      </c>
      <c r="U160" s="10">
        <f>IF(S160="",Listas!$I$1-B160,S160-B160)</f>
        <v>17</v>
      </c>
    </row>
    <row r="161" spans="1:21" x14ac:dyDescent="0.3">
      <c r="A161" s="8" t="s">
        <v>743</v>
      </c>
      <c r="B161" s="9">
        <v>45357</v>
      </c>
      <c r="C161" s="8" t="s">
        <v>220</v>
      </c>
      <c r="D161" s="8" t="s">
        <v>221</v>
      </c>
      <c r="E161" s="8" t="s">
        <v>125</v>
      </c>
      <c r="F161" s="8" t="s">
        <v>744</v>
      </c>
      <c r="G161" s="8" t="s">
        <v>127</v>
      </c>
      <c r="H161" s="8" t="s">
        <v>128</v>
      </c>
      <c r="I161" s="8" t="s">
        <v>745</v>
      </c>
      <c r="J161" s="8" t="s">
        <v>178</v>
      </c>
      <c r="K161" s="8" t="s">
        <v>130</v>
      </c>
      <c r="L161" s="8" t="s">
        <v>102</v>
      </c>
      <c r="M161" s="8" t="s">
        <v>64</v>
      </c>
      <c r="N161" s="8" t="s">
        <v>65</v>
      </c>
      <c r="O161" s="8" t="s">
        <v>179</v>
      </c>
      <c r="P161" s="8" t="s">
        <v>180</v>
      </c>
      <c r="Q161" s="8" t="s">
        <v>150</v>
      </c>
      <c r="R161" s="9">
        <v>45359</v>
      </c>
      <c r="S161" s="9">
        <v>45365</v>
      </c>
      <c r="T161" s="8" t="str">
        <f t="shared" si="2"/>
        <v>Cerrado</v>
      </c>
      <c r="U161" s="10">
        <f>IF(S161="",Listas!$I$1-B161,S161-B161)</f>
        <v>8</v>
      </c>
    </row>
    <row r="162" spans="1:21" x14ac:dyDescent="0.3">
      <c r="A162" s="8" t="s">
        <v>746</v>
      </c>
      <c r="B162" s="9">
        <v>45358</v>
      </c>
      <c r="C162" s="8" t="s">
        <v>152</v>
      </c>
      <c r="D162" s="8" t="s">
        <v>153</v>
      </c>
      <c r="E162" s="8" t="s">
        <v>125</v>
      </c>
      <c r="F162" s="8" t="s">
        <v>747</v>
      </c>
      <c r="G162" s="8" t="s">
        <v>223</v>
      </c>
      <c r="H162" s="8" t="s">
        <v>224</v>
      </c>
      <c r="I162" s="8" t="s">
        <v>748</v>
      </c>
      <c r="J162" s="8" t="s">
        <v>147</v>
      </c>
      <c r="K162" s="8" t="s">
        <v>90</v>
      </c>
      <c r="L162" s="8" t="s">
        <v>102</v>
      </c>
      <c r="M162" s="8" t="s">
        <v>64</v>
      </c>
      <c r="N162" s="8" t="s">
        <v>135</v>
      </c>
      <c r="O162" s="8" t="s">
        <v>148</v>
      </c>
      <c r="P162" s="8" t="s">
        <v>149</v>
      </c>
      <c r="Q162" s="8" t="s">
        <v>150</v>
      </c>
      <c r="R162" s="9">
        <v>45359</v>
      </c>
      <c r="S162" s="9">
        <v>45372</v>
      </c>
      <c r="T162" s="8" t="str">
        <f t="shared" si="2"/>
        <v>Cerrado</v>
      </c>
      <c r="U162" s="10">
        <f>IF(S162="",Listas!$I$1-B162,S162-B162)</f>
        <v>14</v>
      </c>
    </row>
    <row r="163" spans="1:21" x14ac:dyDescent="0.3">
      <c r="A163" s="8" t="s">
        <v>749</v>
      </c>
      <c r="B163" s="9">
        <v>45361</v>
      </c>
      <c r="C163" s="8" t="s">
        <v>409</v>
      </c>
      <c r="D163" s="8" t="s">
        <v>410</v>
      </c>
      <c r="E163" s="8" t="s">
        <v>125</v>
      </c>
      <c r="F163" s="8" t="s">
        <v>750</v>
      </c>
      <c r="G163" s="8" t="s">
        <v>418</v>
      </c>
      <c r="H163" s="8" t="s">
        <v>419</v>
      </c>
      <c r="I163" s="8" t="s">
        <v>751</v>
      </c>
      <c r="J163" s="8" t="s">
        <v>89</v>
      </c>
      <c r="K163" s="8" t="s">
        <v>90</v>
      </c>
      <c r="L163" s="8" t="s">
        <v>63</v>
      </c>
      <c r="M163" s="8" t="s">
        <v>64</v>
      </c>
      <c r="N163" s="8" t="s">
        <v>65</v>
      </c>
      <c r="O163" s="8" t="s">
        <v>91</v>
      </c>
      <c r="P163" s="8" t="s">
        <v>92</v>
      </c>
      <c r="Q163" s="8" t="s">
        <v>81</v>
      </c>
      <c r="R163" s="9">
        <v>45364</v>
      </c>
      <c r="S163" s="9">
        <v>45371</v>
      </c>
      <c r="T163" s="8" t="str">
        <f t="shared" si="2"/>
        <v>Cerrado</v>
      </c>
      <c r="U163" s="10">
        <f>IF(S163="",Listas!$I$1-B163,S163-B163)</f>
        <v>10</v>
      </c>
    </row>
    <row r="164" spans="1:21" x14ac:dyDescent="0.3">
      <c r="A164" s="8" t="s">
        <v>752</v>
      </c>
      <c r="B164" s="9">
        <v>45362</v>
      </c>
      <c r="C164" s="8" t="s">
        <v>372</v>
      </c>
      <c r="D164" s="8" t="s">
        <v>373</v>
      </c>
      <c r="E164" s="8" t="s">
        <v>125</v>
      </c>
      <c r="F164" s="8" t="s">
        <v>753</v>
      </c>
      <c r="G164" s="8" t="s">
        <v>242</v>
      </c>
      <c r="H164" s="8" t="s">
        <v>243</v>
      </c>
      <c r="I164" s="8" t="s">
        <v>754</v>
      </c>
      <c r="J164" s="8" t="s">
        <v>89</v>
      </c>
      <c r="K164" s="8" t="s">
        <v>62</v>
      </c>
      <c r="L164" s="8" t="s">
        <v>121</v>
      </c>
      <c r="M164" s="8" t="s">
        <v>64</v>
      </c>
      <c r="N164" s="8" t="s">
        <v>65</v>
      </c>
      <c r="O164" s="8" t="s">
        <v>91</v>
      </c>
      <c r="P164" s="8" t="s">
        <v>92</v>
      </c>
      <c r="Q164" s="8" t="s">
        <v>81</v>
      </c>
      <c r="R164" s="9">
        <v>45366</v>
      </c>
      <c r="S164" s="9">
        <v>45377</v>
      </c>
      <c r="T164" s="8" t="str">
        <f t="shared" si="2"/>
        <v>Cerrado</v>
      </c>
      <c r="U164" s="10">
        <f>IF(S164="",Listas!$I$1-B164,S164-B164)</f>
        <v>15</v>
      </c>
    </row>
    <row r="165" spans="1:21" x14ac:dyDescent="0.3">
      <c r="A165" s="8" t="s">
        <v>755</v>
      </c>
      <c r="B165" s="9">
        <v>45362</v>
      </c>
      <c r="C165" s="8" t="s">
        <v>123</v>
      </c>
      <c r="D165" s="8" t="s">
        <v>124</v>
      </c>
      <c r="E165" s="8" t="s">
        <v>125</v>
      </c>
      <c r="F165" s="8" t="s">
        <v>756</v>
      </c>
      <c r="G165" s="8" t="s">
        <v>175</v>
      </c>
      <c r="H165" s="8" t="s">
        <v>176</v>
      </c>
      <c r="I165" s="8" t="s">
        <v>757</v>
      </c>
      <c r="J165" s="8" t="s">
        <v>139</v>
      </c>
      <c r="K165" s="8" t="s">
        <v>90</v>
      </c>
      <c r="L165" s="8" t="s">
        <v>63</v>
      </c>
      <c r="M165" s="8" t="s">
        <v>64</v>
      </c>
      <c r="N165" s="8" t="s">
        <v>65</v>
      </c>
      <c r="O165" s="8" t="s">
        <v>140</v>
      </c>
      <c r="P165" s="8" t="s">
        <v>141</v>
      </c>
      <c r="Q165" s="8" t="s">
        <v>68</v>
      </c>
      <c r="R165" s="9">
        <v>45366</v>
      </c>
      <c r="S165" s="9">
        <v>45369</v>
      </c>
      <c r="T165" s="8" t="str">
        <f t="shared" si="2"/>
        <v>Cerrado</v>
      </c>
      <c r="U165" s="10">
        <f>IF(S165="",Listas!$I$1-B165,S165-B165)</f>
        <v>7</v>
      </c>
    </row>
    <row r="166" spans="1:21" x14ac:dyDescent="0.3">
      <c r="A166" s="8" t="s">
        <v>758</v>
      </c>
      <c r="B166" s="9">
        <v>45364</v>
      </c>
      <c r="C166" s="8" t="s">
        <v>721</v>
      </c>
      <c r="D166" s="8" t="s">
        <v>722</v>
      </c>
      <c r="E166" s="8" t="s">
        <v>96</v>
      </c>
      <c r="F166" s="8" t="s">
        <v>759</v>
      </c>
      <c r="G166" s="8" t="s">
        <v>204</v>
      </c>
      <c r="H166" s="8" t="s">
        <v>205</v>
      </c>
      <c r="I166" s="8" t="s">
        <v>760</v>
      </c>
      <c r="J166" s="8" t="s">
        <v>89</v>
      </c>
      <c r="K166" s="8" t="s">
        <v>90</v>
      </c>
      <c r="L166" s="8" t="s">
        <v>78</v>
      </c>
      <c r="M166" s="8" t="s">
        <v>64</v>
      </c>
      <c r="N166" s="8" t="s">
        <v>135</v>
      </c>
      <c r="O166" s="8" t="s">
        <v>91</v>
      </c>
      <c r="P166" s="8" t="s">
        <v>92</v>
      </c>
      <c r="Q166" s="8" t="s">
        <v>81</v>
      </c>
      <c r="R166" s="9">
        <v>45364</v>
      </c>
      <c r="S166" s="9">
        <v>45378</v>
      </c>
      <c r="T166" s="8" t="str">
        <f t="shared" si="2"/>
        <v>Cerrado</v>
      </c>
      <c r="U166" s="10">
        <f>IF(S166="",Listas!$I$1-B166,S166-B166)</f>
        <v>14</v>
      </c>
    </row>
    <row r="167" spans="1:21" x14ac:dyDescent="0.3">
      <c r="A167" s="8" t="s">
        <v>761</v>
      </c>
      <c r="B167" s="9">
        <v>45366</v>
      </c>
      <c r="C167" s="8" t="s">
        <v>358</v>
      </c>
      <c r="D167" s="8" t="s">
        <v>359</v>
      </c>
      <c r="E167" s="8" t="s">
        <v>56</v>
      </c>
      <c r="F167" s="8" t="s">
        <v>762</v>
      </c>
      <c r="G167" s="8" t="s">
        <v>175</v>
      </c>
      <c r="H167" s="8" t="s">
        <v>176</v>
      </c>
      <c r="I167" s="8" t="s">
        <v>763</v>
      </c>
      <c r="J167" s="8" t="s">
        <v>77</v>
      </c>
      <c r="K167" s="8" t="s">
        <v>62</v>
      </c>
      <c r="L167" s="8" t="s">
        <v>102</v>
      </c>
      <c r="M167" s="8" t="s">
        <v>64</v>
      </c>
      <c r="N167" s="8" t="s">
        <v>135</v>
      </c>
      <c r="O167" s="8" t="s">
        <v>79</v>
      </c>
      <c r="P167" s="8" t="s">
        <v>80</v>
      </c>
      <c r="Q167" s="8" t="s">
        <v>81</v>
      </c>
      <c r="R167" s="9">
        <v>45369</v>
      </c>
      <c r="S167" s="9">
        <v>45378</v>
      </c>
      <c r="T167" s="8" t="str">
        <f t="shared" si="2"/>
        <v>Cerrado</v>
      </c>
      <c r="U167" s="10">
        <f>IF(S167="",Listas!$I$1-B167,S167-B167)</f>
        <v>12</v>
      </c>
    </row>
    <row r="168" spans="1:21" x14ac:dyDescent="0.3">
      <c r="A168" s="8" t="s">
        <v>764</v>
      </c>
      <c r="B168" s="9">
        <v>45364</v>
      </c>
      <c r="C168" s="8" t="s">
        <v>422</v>
      </c>
      <c r="D168" s="8" t="s">
        <v>423</v>
      </c>
      <c r="E168" s="8" t="s">
        <v>72</v>
      </c>
      <c r="F168" s="8" t="s">
        <v>765</v>
      </c>
      <c r="G168" s="8" t="s">
        <v>223</v>
      </c>
      <c r="H168" s="8" t="s">
        <v>224</v>
      </c>
      <c r="I168" s="8" t="s">
        <v>766</v>
      </c>
      <c r="J168" s="8" t="s">
        <v>101</v>
      </c>
      <c r="K168" s="8" t="s">
        <v>112</v>
      </c>
      <c r="L168" s="8" t="s">
        <v>102</v>
      </c>
      <c r="M168" s="8" t="s">
        <v>64</v>
      </c>
      <c r="N168" s="8" t="s">
        <v>135</v>
      </c>
      <c r="O168" s="8" t="s">
        <v>103</v>
      </c>
      <c r="P168" s="8" t="s">
        <v>104</v>
      </c>
      <c r="Q168" s="8" t="s">
        <v>68</v>
      </c>
      <c r="R168" s="9">
        <v>45367</v>
      </c>
      <c r="S168" s="9">
        <v>45374</v>
      </c>
      <c r="T168" s="8" t="str">
        <f t="shared" si="2"/>
        <v>Cerrado</v>
      </c>
      <c r="U168" s="10">
        <f>IF(S168="",Listas!$I$1-B168,S168-B168)</f>
        <v>10</v>
      </c>
    </row>
    <row r="169" spans="1:21" x14ac:dyDescent="0.3">
      <c r="A169" s="8" t="s">
        <v>767</v>
      </c>
      <c r="B169" s="9">
        <v>45366</v>
      </c>
      <c r="C169" s="8" t="s">
        <v>143</v>
      </c>
      <c r="D169" s="8" t="s">
        <v>144</v>
      </c>
      <c r="E169" s="8" t="s">
        <v>72</v>
      </c>
      <c r="F169" s="8" t="s">
        <v>768</v>
      </c>
      <c r="G169" s="8" t="s">
        <v>308</v>
      </c>
      <c r="H169" s="8" t="s">
        <v>309</v>
      </c>
      <c r="I169" s="8" t="s">
        <v>769</v>
      </c>
      <c r="J169" s="8" t="s">
        <v>178</v>
      </c>
      <c r="K169" s="8" t="s">
        <v>90</v>
      </c>
      <c r="L169" s="8" t="s">
        <v>78</v>
      </c>
      <c r="M169" s="8" t="s">
        <v>64</v>
      </c>
      <c r="N169" s="8" t="s">
        <v>65</v>
      </c>
      <c r="O169" s="8" t="s">
        <v>179</v>
      </c>
      <c r="P169" s="8" t="s">
        <v>180</v>
      </c>
      <c r="Q169" s="8" t="s">
        <v>150</v>
      </c>
      <c r="R169" s="9">
        <v>45367</v>
      </c>
      <c r="S169" s="9">
        <v>45379</v>
      </c>
      <c r="T169" s="8" t="str">
        <f t="shared" si="2"/>
        <v>Cerrado</v>
      </c>
      <c r="U169" s="10">
        <f>IF(S169="",Listas!$I$1-B169,S169-B169)</f>
        <v>13</v>
      </c>
    </row>
    <row r="170" spans="1:21" x14ac:dyDescent="0.3">
      <c r="A170" s="8" t="s">
        <v>770</v>
      </c>
      <c r="B170" s="9">
        <v>45370</v>
      </c>
      <c r="C170" s="8" t="s">
        <v>771</v>
      </c>
      <c r="D170" s="8" t="s">
        <v>772</v>
      </c>
      <c r="E170" s="8" t="s">
        <v>116</v>
      </c>
      <c r="F170" s="8" t="s">
        <v>773</v>
      </c>
      <c r="G170" s="8" t="s">
        <v>308</v>
      </c>
      <c r="H170" s="8" t="s">
        <v>309</v>
      </c>
      <c r="I170" s="8" t="s">
        <v>774</v>
      </c>
      <c r="J170" s="8" t="s">
        <v>139</v>
      </c>
      <c r="K170" s="8" t="s">
        <v>90</v>
      </c>
      <c r="L170" s="8" t="s">
        <v>121</v>
      </c>
      <c r="M170" s="8" t="s">
        <v>64</v>
      </c>
      <c r="N170" s="8" t="s">
        <v>65</v>
      </c>
      <c r="O170" s="8" t="s">
        <v>140</v>
      </c>
      <c r="P170" s="8" t="s">
        <v>141</v>
      </c>
      <c r="Q170" s="8" t="s">
        <v>68</v>
      </c>
      <c r="R170" s="9">
        <v>45372</v>
      </c>
      <c r="S170" s="9">
        <v>45373</v>
      </c>
      <c r="T170" s="8" t="str">
        <f t="shared" si="2"/>
        <v>Cerrado</v>
      </c>
      <c r="U170" s="10">
        <f>IF(S170="",Listas!$I$1-B170,S170-B170)</f>
        <v>3</v>
      </c>
    </row>
    <row r="171" spans="1:21" x14ac:dyDescent="0.3">
      <c r="A171" s="8" t="s">
        <v>775</v>
      </c>
      <c r="B171" s="9">
        <v>45371</v>
      </c>
      <c r="C171" s="8" t="s">
        <v>220</v>
      </c>
      <c r="D171" s="8" t="s">
        <v>221</v>
      </c>
      <c r="E171" s="8" t="s">
        <v>125</v>
      </c>
      <c r="F171" s="8" t="s">
        <v>776</v>
      </c>
      <c r="G171" s="8" t="s">
        <v>242</v>
      </c>
      <c r="H171" s="8" t="s">
        <v>243</v>
      </c>
      <c r="I171" s="8" t="s">
        <v>777</v>
      </c>
      <c r="J171" s="8" t="s">
        <v>178</v>
      </c>
      <c r="K171" s="8" t="s">
        <v>112</v>
      </c>
      <c r="L171" s="8" t="s">
        <v>78</v>
      </c>
      <c r="M171" s="8" t="s">
        <v>64</v>
      </c>
      <c r="N171" s="8" t="s">
        <v>65</v>
      </c>
      <c r="O171" s="8" t="s">
        <v>179</v>
      </c>
      <c r="P171" s="8" t="s">
        <v>180</v>
      </c>
      <c r="Q171" s="8" t="s">
        <v>150</v>
      </c>
      <c r="R171" s="9">
        <v>45375</v>
      </c>
      <c r="S171" s="9">
        <v>45379</v>
      </c>
      <c r="T171" s="8" t="str">
        <f t="shared" si="2"/>
        <v>Cerrado</v>
      </c>
      <c r="U171" s="10">
        <f>IF(S171="",Listas!$I$1-B171,S171-B171)</f>
        <v>8</v>
      </c>
    </row>
    <row r="172" spans="1:21" x14ac:dyDescent="0.3">
      <c r="A172" s="8" t="s">
        <v>778</v>
      </c>
      <c r="B172" s="9">
        <v>45370</v>
      </c>
      <c r="C172" s="8" t="s">
        <v>779</v>
      </c>
      <c r="D172" s="8" t="s">
        <v>780</v>
      </c>
      <c r="E172" s="8" t="s">
        <v>116</v>
      </c>
      <c r="F172" s="8" t="s">
        <v>781</v>
      </c>
      <c r="G172" s="8" t="s">
        <v>185</v>
      </c>
      <c r="H172" s="8" t="s">
        <v>186</v>
      </c>
      <c r="I172" s="8" t="s">
        <v>777</v>
      </c>
      <c r="J172" s="8" t="s">
        <v>89</v>
      </c>
      <c r="K172" s="8" t="s">
        <v>90</v>
      </c>
      <c r="L172" s="8" t="s">
        <v>121</v>
      </c>
      <c r="M172" s="8" t="s">
        <v>64</v>
      </c>
      <c r="N172" s="8" t="s">
        <v>65</v>
      </c>
      <c r="O172" s="8" t="s">
        <v>91</v>
      </c>
      <c r="P172" s="8" t="s">
        <v>92</v>
      </c>
      <c r="Q172" s="8" t="s">
        <v>81</v>
      </c>
      <c r="R172" s="9">
        <v>45371</v>
      </c>
      <c r="S172" s="9">
        <v>45380</v>
      </c>
      <c r="T172" s="8" t="str">
        <f t="shared" si="2"/>
        <v>Cerrado</v>
      </c>
      <c r="U172" s="10">
        <f>IF(S172="",Listas!$I$1-B172,S172-B172)</f>
        <v>10</v>
      </c>
    </row>
    <row r="173" spans="1:21" x14ac:dyDescent="0.3">
      <c r="A173" s="8" t="s">
        <v>782</v>
      </c>
      <c r="B173" s="9">
        <v>45376</v>
      </c>
      <c r="C173" s="8" t="s">
        <v>132</v>
      </c>
      <c r="D173" s="8" t="s">
        <v>133</v>
      </c>
      <c r="E173" s="8" t="s">
        <v>125</v>
      </c>
      <c r="F173" s="8" t="s">
        <v>783</v>
      </c>
      <c r="G173" s="8" t="s">
        <v>361</v>
      </c>
      <c r="H173" s="8" t="s">
        <v>362</v>
      </c>
      <c r="I173" s="8" t="s">
        <v>784</v>
      </c>
      <c r="J173" s="8" t="s">
        <v>61</v>
      </c>
      <c r="K173" s="8" t="s">
        <v>62</v>
      </c>
      <c r="L173" s="8" t="s">
        <v>63</v>
      </c>
      <c r="M173" s="8" t="s">
        <v>64</v>
      </c>
      <c r="N173" s="8" t="s">
        <v>65</v>
      </c>
      <c r="O173" s="8" t="s">
        <v>66</v>
      </c>
      <c r="P173" s="8" t="s">
        <v>67</v>
      </c>
      <c r="Q173" s="8" t="s">
        <v>68</v>
      </c>
      <c r="R173" s="9">
        <v>45380</v>
      </c>
      <c r="S173" s="9">
        <v>45393</v>
      </c>
      <c r="T173" s="8" t="str">
        <f t="shared" si="2"/>
        <v>Cerrado</v>
      </c>
      <c r="U173" s="10">
        <f>IF(S173="",Listas!$I$1-B173,S173-B173)</f>
        <v>17</v>
      </c>
    </row>
    <row r="174" spans="1:21" x14ac:dyDescent="0.3">
      <c r="A174" s="8" t="s">
        <v>785</v>
      </c>
      <c r="B174" s="9">
        <v>45374</v>
      </c>
      <c r="C174" s="8" t="s">
        <v>588</v>
      </c>
      <c r="D174" s="8" t="s">
        <v>589</v>
      </c>
      <c r="E174" s="8" t="s">
        <v>116</v>
      </c>
      <c r="F174" s="8" t="s">
        <v>786</v>
      </c>
      <c r="G174" s="8" t="s">
        <v>160</v>
      </c>
      <c r="H174" s="8" t="s">
        <v>161</v>
      </c>
      <c r="I174" s="8" t="s">
        <v>787</v>
      </c>
      <c r="J174" s="8" t="s">
        <v>147</v>
      </c>
      <c r="K174" s="8" t="s">
        <v>90</v>
      </c>
      <c r="L174" s="8" t="s">
        <v>63</v>
      </c>
      <c r="M174" s="8" t="s">
        <v>64</v>
      </c>
      <c r="N174" s="8" t="s">
        <v>135</v>
      </c>
      <c r="O174" s="8" t="s">
        <v>148</v>
      </c>
      <c r="P174" s="8" t="s">
        <v>149</v>
      </c>
      <c r="Q174" s="8" t="s">
        <v>150</v>
      </c>
      <c r="R174" s="9">
        <v>45375</v>
      </c>
      <c r="S174" s="9">
        <v>45393</v>
      </c>
      <c r="T174" s="8" t="str">
        <f t="shared" si="2"/>
        <v>Cerrado</v>
      </c>
      <c r="U174" s="10">
        <f>IF(S174="",Listas!$I$1-B174,S174-B174)</f>
        <v>19</v>
      </c>
    </row>
    <row r="175" spans="1:21" x14ac:dyDescent="0.3">
      <c r="A175" s="8" t="s">
        <v>788</v>
      </c>
      <c r="B175" s="9">
        <v>45377</v>
      </c>
      <c r="C175" s="8" t="s">
        <v>189</v>
      </c>
      <c r="D175" s="8" t="s">
        <v>190</v>
      </c>
      <c r="E175" s="8" t="s">
        <v>72</v>
      </c>
      <c r="F175" s="8" t="s">
        <v>789</v>
      </c>
      <c r="G175" s="8" t="s">
        <v>74</v>
      </c>
      <c r="H175" s="8" t="s">
        <v>75</v>
      </c>
      <c r="I175" s="8" t="s">
        <v>790</v>
      </c>
      <c r="J175" s="8" t="s">
        <v>178</v>
      </c>
      <c r="K175" s="8" t="s">
        <v>90</v>
      </c>
      <c r="L175" s="8" t="s">
        <v>121</v>
      </c>
      <c r="M175" s="8" t="s">
        <v>64</v>
      </c>
      <c r="N175" s="8" t="s">
        <v>135</v>
      </c>
      <c r="O175" s="8" t="s">
        <v>179</v>
      </c>
      <c r="P175" s="8" t="s">
        <v>180</v>
      </c>
      <c r="Q175" s="8" t="s">
        <v>150</v>
      </c>
      <c r="R175" s="9">
        <v>45377</v>
      </c>
      <c r="S175" s="9">
        <v>45387</v>
      </c>
      <c r="T175" s="8" t="str">
        <f t="shared" si="2"/>
        <v>Cerrado</v>
      </c>
      <c r="U175" s="10">
        <f>IF(S175="",Listas!$I$1-B175,S175-B175)</f>
        <v>10</v>
      </c>
    </row>
    <row r="176" spans="1:21" x14ac:dyDescent="0.3">
      <c r="A176" s="8" t="s">
        <v>791</v>
      </c>
      <c r="B176" s="9">
        <v>45379</v>
      </c>
      <c r="C176" s="8" t="s">
        <v>341</v>
      </c>
      <c r="D176" s="8" t="s">
        <v>342</v>
      </c>
      <c r="E176" s="8" t="s">
        <v>125</v>
      </c>
      <c r="F176" s="8" t="s">
        <v>792</v>
      </c>
      <c r="G176" s="8" t="s">
        <v>211</v>
      </c>
      <c r="H176" s="8" t="s">
        <v>212</v>
      </c>
      <c r="I176" s="8" t="s">
        <v>793</v>
      </c>
      <c r="J176" s="8" t="s">
        <v>61</v>
      </c>
      <c r="K176" s="8" t="s">
        <v>112</v>
      </c>
      <c r="L176" s="8" t="s">
        <v>78</v>
      </c>
      <c r="M176" s="8" t="s">
        <v>64</v>
      </c>
      <c r="N176" s="8" t="s">
        <v>135</v>
      </c>
      <c r="O176" s="8" t="s">
        <v>66</v>
      </c>
      <c r="P176" s="8" t="s">
        <v>67</v>
      </c>
      <c r="Q176" s="8" t="s">
        <v>68</v>
      </c>
      <c r="R176" s="9">
        <v>45382</v>
      </c>
      <c r="S176" s="9">
        <v>45391</v>
      </c>
      <c r="T176" s="8" t="str">
        <f t="shared" si="2"/>
        <v>Cerrado</v>
      </c>
      <c r="U176" s="10">
        <f>IF(S176="",Listas!$I$1-B176,S176-B176)</f>
        <v>12</v>
      </c>
    </row>
    <row r="177" spans="1:21" x14ac:dyDescent="0.3">
      <c r="A177" s="8" t="s">
        <v>794</v>
      </c>
      <c r="B177" s="9">
        <v>45384</v>
      </c>
      <c r="C177" s="8" t="s">
        <v>315</v>
      </c>
      <c r="D177" s="8" t="s">
        <v>316</v>
      </c>
      <c r="E177" s="8" t="s">
        <v>72</v>
      </c>
      <c r="F177" s="8" t="s">
        <v>795</v>
      </c>
      <c r="G177" s="8" t="s">
        <v>466</v>
      </c>
      <c r="H177" s="8" t="s">
        <v>467</v>
      </c>
      <c r="I177" s="8" t="s">
        <v>796</v>
      </c>
      <c r="J177" s="8" t="s">
        <v>101</v>
      </c>
      <c r="K177" s="8" t="s">
        <v>90</v>
      </c>
      <c r="L177" s="8" t="s">
        <v>102</v>
      </c>
      <c r="M177" s="8" t="s">
        <v>797</v>
      </c>
      <c r="N177" s="8" t="s">
        <v>65</v>
      </c>
      <c r="O177" s="8" t="s">
        <v>103</v>
      </c>
      <c r="P177" s="8" t="s">
        <v>104</v>
      </c>
      <c r="Q177" s="8" t="s">
        <v>68</v>
      </c>
      <c r="R177" s="9">
        <v>45384</v>
      </c>
      <c r="S177" s="9">
        <v>45388</v>
      </c>
      <c r="T177" s="8" t="str">
        <f t="shared" si="2"/>
        <v>Cerrado</v>
      </c>
      <c r="U177" s="10">
        <f>IF(S177="",Listas!$I$1-B177,S177-B177)</f>
        <v>4</v>
      </c>
    </row>
    <row r="178" spans="1:21" x14ac:dyDescent="0.3">
      <c r="A178" s="8" t="s">
        <v>798</v>
      </c>
      <c r="B178" s="9">
        <v>45394</v>
      </c>
      <c r="C178" s="8" t="s">
        <v>603</v>
      </c>
      <c r="D178" s="8" t="s">
        <v>604</v>
      </c>
      <c r="E178" s="8" t="s">
        <v>72</v>
      </c>
      <c r="F178" s="8" t="s">
        <v>799</v>
      </c>
      <c r="G178" s="8" t="s">
        <v>334</v>
      </c>
      <c r="H178" s="8" t="s">
        <v>335</v>
      </c>
      <c r="I178" s="8" t="s">
        <v>800</v>
      </c>
      <c r="J178" s="8" t="s">
        <v>89</v>
      </c>
      <c r="K178" s="8" t="s">
        <v>62</v>
      </c>
      <c r="L178" s="8" t="s">
        <v>102</v>
      </c>
      <c r="M178" s="8" t="s">
        <v>797</v>
      </c>
      <c r="N178" s="8" t="s">
        <v>65</v>
      </c>
      <c r="O178" s="8" t="s">
        <v>91</v>
      </c>
      <c r="P178" s="8" t="s">
        <v>92</v>
      </c>
      <c r="Q178" s="8" t="s">
        <v>81</v>
      </c>
      <c r="R178" s="9">
        <v>45395</v>
      </c>
      <c r="S178" s="9">
        <v>45399</v>
      </c>
      <c r="T178" s="8" t="str">
        <f t="shared" si="2"/>
        <v>Cerrado</v>
      </c>
      <c r="U178" s="10">
        <f>IF(S178="",Listas!$I$1-B178,S178-B178)</f>
        <v>5</v>
      </c>
    </row>
    <row r="179" spans="1:21" x14ac:dyDescent="0.3">
      <c r="A179" s="8" t="s">
        <v>801</v>
      </c>
      <c r="B179" s="9">
        <v>45393</v>
      </c>
      <c r="C179" s="8" t="s">
        <v>123</v>
      </c>
      <c r="D179" s="8" t="s">
        <v>124</v>
      </c>
      <c r="E179" s="8" t="s">
        <v>125</v>
      </c>
      <c r="F179" s="8" t="s">
        <v>802</v>
      </c>
      <c r="G179" s="8" t="s">
        <v>418</v>
      </c>
      <c r="H179" s="8" t="s">
        <v>419</v>
      </c>
      <c r="I179" s="8" t="s">
        <v>803</v>
      </c>
      <c r="J179" s="8" t="s">
        <v>89</v>
      </c>
      <c r="K179" s="8" t="s">
        <v>90</v>
      </c>
      <c r="L179" s="8" t="s">
        <v>102</v>
      </c>
      <c r="M179" s="8" t="s">
        <v>797</v>
      </c>
      <c r="N179" s="8" t="s">
        <v>65</v>
      </c>
      <c r="O179" s="8" t="s">
        <v>91</v>
      </c>
      <c r="P179" s="8" t="s">
        <v>92</v>
      </c>
      <c r="Q179" s="8" t="s">
        <v>81</v>
      </c>
      <c r="R179" s="9">
        <v>45394</v>
      </c>
      <c r="S179" s="9">
        <v>45397</v>
      </c>
      <c r="T179" s="8" t="str">
        <f t="shared" si="2"/>
        <v>Cerrado</v>
      </c>
      <c r="U179" s="10">
        <f>IF(S179="",Listas!$I$1-B179,S179-B179)</f>
        <v>4</v>
      </c>
    </row>
    <row r="180" spans="1:21" x14ac:dyDescent="0.3">
      <c r="A180" s="8" t="s">
        <v>804</v>
      </c>
      <c r="B180" s="9">
        <v>45395</v>
      </c>
      <c r="C180" s="8" t="s">
        <v>323</v>
      </c>
      <c r="D180" s="8" t="s">
        <v>324</v>
      </c>
      <c r="E180" s="8" t="s">
        <v>125</v>
      </c>
      <c r="F180" s="8" t="s">
        <v>805</v>
      </c>
      <c r="G180" s="8" t="s">
        <v>230</v>
      </c>
      <c r="H180" s="8" t="s">
        <v>231</v>
      </c>
      <c r="I180" s="8" t="s">
        <v>806</v>
      </c>
      <c r="J180" s="8" t="s">
        <v>139</v>
      </c>
      <c r="K180" s="8" t="s">
        <v>62</v>
      </c>
      <c r="L180" s="8" t="s">
        <v>63</v>
      </c>
      <c r="M180" s="8" t="s">
        <v>797</v>
      </c>
      <c r="N180" s="8" t="s">
        <v>65</v>
      </c>
      <c r="O180" s="8" t="s">
        <v>140</v>
      </c>
      <c r="P180" s="8" t="s">
        <v>141</v>
      </c>
      <c r="Q180" s="8" t="s">
        <v>68</v>
      </c>
      <c r="R180" s="9">
        <v>45396</v>
      </c>
      <c r="S180" s="9">
        <v>45401</v>
      </c>
      <c r="T180" s="8" t="str">
        <f t="shared" si="2"/>
        <v>Cerrado</v>
      </c>
      <c r="U180" s="10">
        <f>IF(S180="",Listas!$I$1-B180,S180-B180)</f>
        <v>6</v>
      </c>
    </row>
    <row r="181" spans="1:21" x14ac:dyDescent="0.3">
      <c r="A181" s="8" t="s">
        <v>807</v>
      </c>
      <c r="B181" s="9">
        <v>45394</v>
      </c>
      <c r="C181" s="8" t="s">
        <v>276</v>
      </c>
      <c r="D181" s="8" t="s">
        <v>277</v>
      </c>
      <c r="E181" s="8" t="s">
        <v>72</v>
      </c>
      <c r="F181" s="8" t="s">
        <v>808</v>
      </c>
      <c r="G181" s="8" t="s">
        <v>185</v>
      </c>
      <c r="H181" s="8" t="s">
        <v>186</v>
      </c>
      <c r="I181" s="8" t="s">
        <v>809</v>
      </c>
      <c r="J181" s="8" t="s">
        <v>147</v>
      </c>
      <c r="K181" s="8" t="s">
        <v>62</v>
      </c>
      <c r="L181" s="8" t="s">
        <v>78</v>
      </c>
      <c r="M181" s="8" t="s">
        <v>797</v>
      </c>
      <c r="N181" s="8" t="s">
        <v>135</v>
      </c>
      <c r="O181" s="8" t="s">
        <v>148</v>
      </c>
      <c r="P181" s="8" t="s">
        <v>149</v>
      </c>
      <c r="Q181" s="8" t="s">
        <v>150</v>
      </c>
      <c r="R181" s="9">
        <v>45395</v>
      </c>
      <c r="S181" s="9">
        <v>45400</v>
      </c>
      <c r="T181" s="8" t="str">
        <f t="shared" si="2"/>
        <v>Cerrado</v>
      </c>
      <c r="U181" s="10">
        <f>IF(S181="",Listas!$I$1-B181,S181-B181)</f>
        <v>6</v>
      </c>
    </row>
    <row r="182" spans="1:21" x14ac:dyDescent="0.3">
      <c r="A182" s="8" t="s">
        <v>810</v>
      </c>
      <c r="B182" s="9">
        <v>45403</v>
      </c>
      <c r="C182" s="8" t="s">
        <v>194</v>
      </c>
      <c r="D182" s="8" t="s">
        <v>195</v>
      </c>
      <c r="E182" s="8" t="s">
        <v>125</v>
      </c>
      <c r="F182" s="8" t="s">
        <v>811</v>
      </c>
      <c r="G182" s="8" t="s">
        <v>466</v>
      </c>
      <c r="H182" s="8" t="s">
        <v>467</v>
      </c>
      <c r="I182" s="8" t="s">
        <v>812</v>
      </c>
      <c r="J182" s="8" t="s">
        <v>89</v>
      </c>
      <c r="K182" s="8" t="s">
        <v>62</v>
      </c>
      <c r="L182" s="8" t="s">
        <v>102</v>
      </c>
      <c r="M182" s="8" t="s">
        <v>797</v>
      </c>
      <c r="N182" s="8" t="s">
        <v>65</v>
      </c>
      <c r="O182" s="8" t="s">
        <v>91</v>
      </c>
      <c r="P182" s="8" t="s">
        <v>92</v>
      </c>
      <c r="Q182" s="8" t="s">
        <v>81</v>
      </c>
      <c r="R182" s="9">
        <v>45404</v>
      </c>
      <c r="S182" s="9">
        <v>45406</v>
      </c>
      <c r="T182" s="8" t="str">
        <f t="shared" si="2"/>
        <v>Cerrado</v>
      </c>
      <c r="U182" s="10">
        <f>IF(S182="",Listas!$I$1-B182,S182-B182)</f>
        <v>3</v>
      </c>
    </row>
    <row r="183" spans="1:21" x14ac:dyDescent="0.3">
      <c r="A183" s="8" t="s">
        <v>813</v>
      </c>
      <c r="B183" s="9">
        <v>45408</v>
      </c>
      <c r="C183" s="8" t="s">
        <v>470</v>
      </c>
      <c r="D183" s="8" t="s">
        <v>471</v>
      </c>
      <c r="E183" s="8" t="s">
        <v>125</v>
      </c>
      <c r="F183" s="8" t="s">
        <v>814</v>
      </c>
      <c r="G183" s="8" t="s">
        <v>466</v>
      </c>
      <c r="H183" s="8" t="s">
        <v>467</v>
      </c>
      <c r="I183" s="8" t="s">
        <v>815</v>
      </c>
      <c r="J183" s="8" t="s">
        <v>147</v>
      </c>
      <c r="K183" s="8" t="s">
        <v>62</v>
      </c>
      <c r="L183" s="8" t="s">
        <v>102</v>
      </c>
      <c r="M183" s="8" t="s">
        <v>797</v>
      </c>
      <c r="N183" s="8" t="s">
        <v>65</v>
      </c>
      <c r="O183" s="8" t="s">
        <v>148</v>
      </c>
      <c r="P183" s="8" t="s">
        <v>149</v>
      </c>
      <c r="Q183" s="8" t="s">
        <v>150</v>
      </c>
      <c r="R183" s="9">
        <v>45409</v>
      </c>
      <c r="S183" s="9">
        <v>45414</v>
      </c>
      <c r="T183" s="8" t="str">
        <f t="shared" si="2"/>
        <v>Cerrado</v>
      </c>
      <c r="U183" s="10">
        <f>IF(S183="",Listas!$I$1-B183,S183-B183)</f>
        <v>6</v>
      </c>
    </row>
    <row r="184" spans="1:21" x14ac:dyDescent="0.3">
      <c r="A184" s="8" t="s">
        <v>816</v>
      </c>
      <c r="B184" s="9">
        <v>45415</v>
      </c>
      <c r="C184" s="8" t="s">
        <v>341</v>
      </c>
      <c r="D184" s="8" t="s">
        <v>342</v>
      </c>
      <c r="E184" s="8" t="s">
        <v>125</v>
      </c>
      <c r="F184" s="8" t="s">
        <v>817</v>
      </c>
      <c r="G184" s="8" t="s">
        <v>334</v>
      </c>
      <c r="H184" s="8" t="s">
        <v>335</v>
      </c>
      <c r="I184" s="8" t="s">
        <v>818</v>
      </c>
      <c r="J184" s="8" t="s">
        <v>139</v>
      </c>
      <c r="K184" s="8" t="s">
        <v>90</v>
      </c>
      <c r="L184" s="8" t="s">
        <v>121</v>
      </c>
      <c r="M184" s="8" t="s">
        <v>797</v>
      </c>
      <c r="N184" s="8" t="s">
        <v>65</v>
      </c>
      <c r="O184" s="8" t="s">
        <v>140</v>
      </c>
      <c r="P184" s="8" t="s">
        <v>141</v>
      </c>
      <c r="Q184" s="8" t="s">
        <v>68</v>
      </c>
      <c r="R184" s="9">
        <v>45415</v>
      </c>
      <c r="S184" s="9">
        <v>45418</v>
      </c>
      <c r="T184" s="8" t="str">
        <f t="shared" si="2"/>
        <v>Cerrado</v>
      </c>
      <c r="U184" s="10">
        <f>IF(S184="",Listas!$I$1-B184,S184-B184)</f>
        <v>3</v>
      </c>
    </row>
    <row r="185" spans="1:21" x14ac:dyDescent="0.3">
      <c r="A185" s="8" t="s">
        <v>819</v>
      </c>
      <c r="B185" s="9">
        <v>45420</v>
      </c>
      <c r="C185" s="8" t="s">
        <v>820</v>
      </c>
      <c r="D185" s="8" t="s">
        <v>821</v>
      </c>
      <c r="E185" s="8" t="s">
        <v>72</v>
      </c>
      <c r="F185" s="8" t="s">
        <v>822</v>
      </c>
      <c r="G185" s="8" t="s">
        <v>98</v>
      </c>
      <c r="H185" s="8" t="s">
        <v>99</v>
      </c>
      <c r="I185" s="8" t="s">
        <v>823</v>
      </c>
      <c r="J185" s="8" t="s">
        <v>89</v>
      </c>
      <c r="K185" s="8" t="s">
        <v>112</v>
      </c>
      <c r="L185" s="8" t="s">
        <v>78</v>
      </c>
      <c r="M185" s="8" t="s">
        <v>797</v>
      </c>
      <c r="N185" s="8" t="s">
        <v>65</v>
      </c>
      <c r="O185" s="8" t="s">
        <v>91</v>
      </c>
      <c r="P185" s="8" t="s">
        <v>92</v>
      </c>
      <c r="Q185" s="8" t="s">
        <v>81</v>
      </c>
      <c r="R185" s="9">
        <v>45421</v>
      </c>
      <c r="S185" s="9">
        <v>45423</v>
      </c>
      <c r="T185" s="8" t="str">
        <f t="shared" si="2"/>
        <v>Cerrado</v>
      </c>
      <c r="U185" s="10">
        <f>IF(S185="",Listas!$I$1-B185,S185-B185)</f>
        <v>3</v>
      </c>
    </row>
    <row r="186" spans="1:21" x14ac:dyDescent="0.3">
      <c r="A186" s="8" t="s">
        <v>824</v>
      </c>
      <c r="B186" s="9">
        <v>45428</v>
      </c>
      <c r="C186" s="8" t="s">
        <v>220</v>
      </c>
      <c r="D186" s="8" t="s">
        <v>221</v>
      </c>
      <c r="E186" s="8" t="s">
        <v>125</v>
      </c>
      <c r="F186" s="8" t="s">
        <v>825</v>
      </c>
      <c r="G186" s="8" t="s">
        <v>466</v>
      </c>
      <c r="H186" s="8" t="s">
        <v>467</v>
      </c>
      <c r="I186" s="8" t="s">
        <v>826</v>
      </c>
      <c r="J186" s="8" t="s">
        <v>101</v>
      </c>
      <c r="K186" s="8" t="s">
        <v>62</v>
      </c>
      <c r="L186" s="8" t="s">
        <v>78</v>
      </c>
      <c r="M186" s="8" t="s">
        <v>797</v>
      </c>
      <c r="N186" s="8" t="s">
        <v>65</v>
      </c>
      <c r="O186" s="8" t="s">
        <v>103</v>
      </c>
      <c r="P186" s="8" t="s">
        <v>104</v>
      </c>
      <c r="Q186" s="8" t="s">
        <v>68</v>
      </c>
      <c r="R186" s="9">
        <v>45428</v>
      </c>
      <c r="S186" s="9">
        <v>45432</v>
      </c>
      <c r="T186" s="8" t="str">
        <f t="shared" si="2"/>
        <v>Cerrado</v>
      </c>
      <c r="U186" s="10">
        <f>IF(S186="",Listas!$I$1-B186,S186-B186)</f>
        <v>4</v>
      </c>
    </row>
    <row r="187" spans="1:21" x14ac:dyDescent="0.3">
      <c r="A187" s="8" t="s">
        <v>827</v>
      </c>
      <c r="B187" s="9">
        <v>45430</v>
      </c>
      <c r="C187" s="8" t="s">
        <v>820</v>
      </c>
      <c r="D187" s="8" t="s">
        <v>821</v>
      </c>
      <c r="E187" s="8" t="s">
        <v>72</v>
      </c>
      <c r="F187" s="8" t="s">
        <v>828</v>
      </c>
      <c r="G187" s="8" t="s">
        <v>211</v>
      </c>
      <c r="H187" s="8" t="s">
        <v>212</v>
      </c>
      <c r="I187" s="8" t="s">
        <v>829</v>
      </c>
      <c r="J187" s="8" t="s">
        <v>101</v>
      </c>
      <c r="K187" s="8" t="s">
        <v>62</v>
      </c>
      <c r="L187" s="8" t="s">
        <v>121</v>
      </c>
      <c r="M187" s="8" t="s">
        <v>797</v>
      </c>
      <c r="N187" s="8" t="s">
        <v>65</v>
      </c>
      <c r="O187" s="8" t="s">
        <v>103</v>
      </c>
      <c r="P187" s="8" t="s">
        <v>104</v>
      </c>
      <c r="Q187" s="8" t="s">
        <v>68</v>
      </c>
      <c r="R187" s="9">
        <v>45431</v>
      </c>
      <c r="S187" s="9">
        <v>45436</v>
      </c>
      <c r="T187" s="8" t="str">
        <f t="shared" si="2"/>
        <v>Cerrado</v>
      </c>
      <c r="U187" s="10">
        <f>IF(S187="",Listas!$I$1-B187,S187-B187)</f>
        <v>6</v>
      </c>
    </row>
    <row r="188" spans="1:21" x14ac:dyDescent="0.3">
      <c r="A188" s="8" t="s">
        <v>830</v>
      </c>
      <c r="B188" s="9">
        <v>45438</v>
      </c>
      <c r="C188" s="8" t="s">
        <v>215</v>
      </c>
      <c r="D188" s="8" t="s">
        <v>216</v>
      </c>
      <c r="E188" s="8" t="s">
        <v>72</v>
      </c>
      <c r="F188" s="8" t="s">
        <v>831</v>
      </c>
      <c r="G188" s="8" t="s">
        <v>242</v>
      </c>
      <c r="H188" s="8" t="s">
        <v>243</v>
      </c>
      <c r="I188" s="8" t="s">
        <v>832</v>
      </c>
      <c r="J188" s="8" t="s">
        <v>139</v>
      </c>
      <c r="K188" s="8" t="s">
        <v>112</v>
      </c>
      <c r="L188" s="8" t="s">
        <v>121</v>
      </c>
      <c r="M188" s="8" t="s">
        <v>797</v>
      </c>
      <c r="N188" s="8" t="s">
        <v>65</v>
      </c>
      <c r="O188" s="8" t="s">
        <v>140</v>
      </c>
      <c r="P188" s="8" t="s">
        <v>141</v>
      </c>
      <c r="Q188" s="8" t="s">
        <v>68</v>
      </c>
      <c r="R188" s="9">
        <v>45438</v>
      </c>
      <c r="S188" s="9">
        <v>45444</v>
      </c>
      <c r="T188" s="8" t="str">
        <f t="shared" si="2"/>
        <v>Cerrado</v>
      </c>
      <c r="U188" s="10">
        <f>IF(S188="",Listas!$I$1-B188,S188-B188)</f>
        <v>6</v>
      </c>
    </row>
    <row r="189" spans="1:21" x14ac:dyDescent="0.3">
      <c r="A189" s="8" t="s">
        <v>833</v>
      </c>
      <c r="B189" s="9">
        <v>45443</v>
      </c>
      <c r="C189" s="8" t="s">
        <v>152</v>
      </c>
      <c r="D189" s="8" t="s">
        <v>153</v>
      </c>
      <c r="E189" s="8" t="s">
        <v>125</v>
      </c>
      <c r="F189" s="8" t="s">
        <v>834</v>
      </c>
      <c r="G189" s="8" t="s">
        <v>98</v>
      </c>
      <c r="H189" s="8" t="s">
        <v>99</v>
      </c>
      <c r="I189" s="8" t="s">
        <v>835</v>
      </c>
      <c r="J189" s="8" t="s">
        <v>61</v>
      </c>
      <c r="K189" s="8" t="s">
        <v>112</v>
      </c>
      <c r="L189" s="8" t="s">
        <v>78</v>
      </c>
      <c r="M189" s="8" t="s">
        <v>797</v>
      </c>
      <c r="N189" s="8" t="s">
        <v>65</v>
      </c>
      <c r="O189" s="8" t="s">
        <v>66</v>
      </c>
      <c r="P189" s="8" t="s">
        <v>67</v>
      </c>
      <c r="Q189" s="8" t="s">
        <v>68</v>
      </c>
      <c r="R189" s="9">
        <v>45443</v>
      </c>
      <c r="S189" s="9">
        <v>45450</v>
      </c>
      <c r="T189" s="8" t="str">
        <f t="shared" si="2"/>
        <v>Cerrado</v>
      </c>
      <c r="U189" s="10">
        <f>IF(S189="",Listas!$I$1-B189,S189-B189)</f>
        <v>7</v>
      </c>
    </row>
    <row r="190" spans="1:21" x14ac:dyDescent="0.3">
      <c r="A190" s="8" t="s">
        <v>836</v>
      </c>
      <c r="B190" s="9">
        <v>45444</v>
      </c>
      <c r="C190" s="8" t="s">
        <v>157</v>
      </c>
      <c r="D190" s="8" t="s">
        <v>158</v>
      </c>
      <c r="E190" s="8" t="s">
        <v>116</v>
      </c>
      <c r="F190" s="8" t="s">
        <v>837</v>
      </c>
      <c r="G190" s="8" t="s">
        <v>160</v>
      </c>
      <c r="H190" s="8" t="s">
        <v>161</v>
      </c>
      <c r="I190" s="8" t="s">
        <v>838</v>
      </c>
      <c r="J190" s="8" t="s">
        <v>178</v>
      </c>
      <c r="K190" s="8" t="s">
        <v>62</v>
      </c>
      <c r="L190" s="8" t="s">
        <v>78</v>
      </c>
      <c r="M190" s="8" t="s">
        <v>797</v>
      </c>
      <c r="N190" s="8" t="s">
        <v>65</v>
      </c>
      <c r="O190" s="8" t="s">
        <v>179</v>
      </c>
      <c r="P190" s="8" t="s">
        <v>180</v>
      </c>
      <c r="Q190" s="8" t="s">
        <v>150</v>
      </c>
      <c r="R190" s="9">
        <v>45444</v>
      </c>
      <c r="S190" s="9">
        <v>45446</v>
      </c>
      <c r="T190" s="8" t="str">
        <f t="shared" si="2"/>
        <v>Cerrado</v>
      </c>
      <c r="U190" s="10">
        <f>IF(S190="",Listas!$I$1-B190,S190-B190)</f>
        <v>2</v>
      </c>
    </row>
    <row r="191" spans="1:21" x14ac:dyDescent="0.3">
      <c r="A191" s="8" t="s">
        <v>839</v>
      </c>
      <c r="B191" s="9">
        <v>45453</v>
      </c>
      <c r="C191" s="8" t="s">
        <v>633</v>
      </c>
      <c r="D191" s="8" t="s">
        <v>634</v>
      </c>
      <c r="E191" s="8" t="s">
        <v>116</v>
      </c>
      <c r="F191" s="8" t="s">
        <v>840</v>
      </c>
      <c r="G191" s="8" t="s">
        <v>392</v>
      </c>
      <c r="H191" s="8" t="s">
        <v>393</v>
      </c>
      <c r="I191" s="8" t="s">
        <v>841</v>
      </c>
      <c r="J191" s="8" t="s">
        <v>147</v>
      </c>
      <c r="K191" s="8" t="s">
        <v>90</v>
      </c>
      <c r="L191" s="8" t="s">
        <v>102</v>
      </c>
      <c r="M191" s="8" t="s">
        <v>797</v>
      </c>
      <c r="N191" s="8" t="s">
        <v>65</v>
      </c>
      <c r="O191" s="8" t="s">
        <v>148</v>
      </c>
      <c r="P191" s="8" t="s">
        <v>149</v>
      </c>
      <c r="Q191" s="8" t="s">
        <v>150</v>
      </c>
      <c r="R191" s="9">
        <v>45454</v>
      </c>
      <c r="S191" s="9">
        <v>45456</v>
      </c>
      <c r="T191" s="8" t="str">
        <f t="shared" si="2"/>
        <v>Cerrado</v>
      </c>
      <c r="U191" s="10">
        <f>IF(S191="",Listas!$I$1-B191,S191-B191)</f>
        <v>3</v>
      </c>
    </row>
    <row r="192" spans="1:21" x14ac:dyDescent="0.3">
      <c r="A192" s="8" t="s">
        <v>842</v>
      </c>
      <c r="B192" s="9">
        <v>45456</v>
      </c>
      <c r="C192" s="8" t="s">
        <v>588</v>
      </c>
      <c r="D192" s="8" t="s">
        <v>589</v>
      </c>
      <c r="E192" s="8" t="s">
        <v>116</v>
      </c>
      <c r="F192" s="8" t="s">
        <v>843</v>
      </c>
      <c r="G192" s="8" t="s">
        <v>58</v>
      </c>
      <c r="H192" s="8" t="s">
        <v>59</v>
      </c>
      <c r="I192" s="8" t="s">
        <v>844</v>
      </c>
      <c r="J192" s="8" t="s">
        <v>139</v>
      </c>
      <c r="K192" s="8" t="s">
        <v>112</v>
      </c>
      <c r="L192" s="8" t="s">
        <v>121</v>
      </c>
      <c r="M192" s="8" t="s">
        <v>797</v>
      </c>
      <c r="N192" s="8" t="s">
        <v>65</v>
      </c>
      <c r="O192" s="8" t="s">
        <v>140</v>
      </c>
      <c r="P192" s="8" t="s">
        <v>141</v>
      </c>
      <c r="Q192" s="8" t="s">
        <v>68</v>
      </c>
      <c r="R192" s="9">
        <v>45457</v>
      </c>
      <c r="S192" s="9">
        <v>45461</v>
      </c>
      <c r="T192" s="8" t="str">
        <f t="shared" si="2"/>
        <v>Cerrado</v>
      </c>
      <c r="U192" s="10">
        <f>IF(S192="",Listas!$I$1-B192,S192-B192)</f>
        <v>5</v>
      </c>
    </row>
    <row r="193" spans="1:21" x14ac:dyDescent="0.3">
      <c r="A193" s="8" t="s">
        <v>845</v>
      </c>
      <c r="B193" s="9">
        <v>45462</v>
      </c>
      <c r="C193" s="8" t="s">
        <v>152</v>
      </c>
      <c r="D193" s="8" t="s">
        <v>153</v>
      </c>
      <c r="E193" s="8" t="s">
        <v>125</v>
      </c>
      <c r="F193" s="8" t="s">
        <v>846</v>
      </c>
      <c r="G193" s="8" t="s">
        <v>211</v>
      </c>
      <c r="H193" s="8" t="s">
        <v>212</v>
      </c>
      <c r="I193" s="8" t="s">
        <v>847</v>
      </c>
      <c r="J193" s="8" t="s">
        <v>101</v>
      </c>
      <c r="K193" s="8" t="s">
        <v>90</v>
      </c>
      <c r="L193" s="8" t="s">
        <v>102</v>
      </c>
      <c r="M193" s="8" t="s">
        <v>797</v>
      </c>
      <c r="N193" s="8" t="s">
        <v>65</v>
      </c>
      <c r="O193" s="8" t="s">
        <v>103</v>
      </c>
      <c r="P193" s="8" t="s">
        <v>104</v>
      </c>
      <c r="Q193" s="8" t="s">
        <v>68</v>
      </c>
      <c r="R193" s="9">
        <v>45462</v>
      </c>
      <c r="S193" s="9">
        <v>45465</v>
      </c>
      <c r="T193" s="8" t="str">
        <f t="shared" si="2"/>
        <v>Cerrado</v>
      </c>
      <c r="U193" s="10">
        <f>IF(S193="",Listas!$I$1-B193,S193-B193)</f>
        <v>3</v>
      </c>
    </row>
    <row r="194" spans="1:21" x14ac:dyDescent="0.3">
      <c r="A194" s="8" t="s">
        <v>848</v>
      </c>
      <c r="B194" s="9">
        <v>45464</v>
      </c>
      <c r="C194" s="8" t="s">
        <v>123</v>
      </c>
      <c r="D194" s="8" t="s">
        <v>124</v>
      </c>
      <c r="E194" s="8" t="s">
        <v>125</v>
      </c>
      <c r="F194" s="8" t="s">
        <v>849</v>
      </c>
      <c r="G194" s="8" t="s">
        <v>109</v>
      </c>
      <c r="H194" s="8" t="s">
        <v>110</v>
      </c>
      <c r="I194" s="8" t="s">
        <v>850</v>
      </c>
      <c r="J194" s="8" t="s">
        <v>101</v>
      </c>
      <c r="K194" s="8" t="s">
        <v>90</v>
      </c>
      <c r="L194" s="8" t="s">
        <v>102</v>
      </c>
      <c r="M194" s="8" t="s">
        <v>797</v>
      </c>
      <c r="N194" s="8" t="s">
        <v>65</v>
      </c>
      <c r="O194" s="8" t="s">
        <v>103</v>
      </c>
      <c r="P194" s="8" t="s">
        <v>104</v>
      </c>
      <c r="Q194" s="8" t="s">
        <v>68</v>
      </c>
      <c r="R194" s="9">
        <v>45464</v>
      </c>
      <c r="S194" s="9">
        <v>45468</v>
      </c>
      <c r="T194" s="8" t="str">
        <f t="shared" ref="T194:T257" si="3">IF(S194="","En proceso","Cerrado")</f>
        <v>Cerrado</v>
      </c>
      <c r="U194" s="10">
        <f>IF(S194="",Listas!$I$1-B194,S194-B194)</f>
        <v>4</v>
      </c>
    </row>
    <row r="195" spans="1:21" x14ac:dyDescent="0.3">
      <c r="A195" s="8" t="s">
        <v>851</v>
      </c>
      <c r="B195" s="9">
        <v>45460</v>
      </c>
      <c r="C195" s="8" t="s">
        <v>852</v>
      </c>
      <c r="D195" s="8" t="s">
        <v>853</v>
      </c>
      <c r="E195" s="8" t="s">
        <v>116</v>
      </c>
      <c r="F195" s="8" t="s">
        <v>854</v>
      </c>
      <c r="G195" s="8" t="s">
        <v>334</v>
      </c>
      <c r="H195" s="8" t="s">
        <v>335</v>
      </c>
      <c r="I195" s="8" t="s">
        <v>855</v>
      </c>
      <c r="J195" s="8" t="s">
        <v>89</v>
      </c>
      <c r="K195" s="8" t="s">
        <v>90</v>
      </c>
      <c r="L195" s="8" t="s">
        <v>121</v>
      </c>
      <c r="M195" s="8" t="s">
        <v>797</v>
      </c>
      <c r="N195" s="8" t="s">
        <v>65</v>
      </c>
      <c r="O195" s="8" t="s">
        <v>91</v>
      </c>
      <c r="P195" s="8" t="s">
        <v>92</v>
      </c>
      <c r="Q195" s="8" t="s">
        <v>81</v>
      </c>
      <c r="R195" s="9">
        <v>45461</v>
      </c>
      <c r="S195" s="9">
        <v>45466</v>
      </c>
      <c r="T195" s="8" t="str">
        <f t="shared" si="3"/>
        <v>Cerrado</v>
      </c>
      <c r="U195" s="10">
        <f>IF(S195="",Listas!$I$1-B195,S195-B195)</f>
        <v>6</v>
      </c>
    </row>
    <row r="196" spans="1:21" x14ac:dyDescent="0.3">
      <c r="A196" s="8" t="s">
        <v>856</v>
      </c>
      <c r="B196" s="9">
        <v>45477</v>
      </c>
      <c r="C196" s="8" t="s">
        <v>106</v>
      </c>
      <c r="D196" s="8" t="s">
        <v>107</v>
      </c>
      <c r="E196" s="8" t="s">
        <v>96</v>
      </c>
      <c r="F196" s="8" t="s">
        <v>857</v>
      </c>
      <c r="G196" s="8" t="s">
        <v>58</v>
      </c>
      <c r="H196" s="8" t="s">
        <v>59</v>
      </c>
      <c r="I196" s="8" t="s">
        <v>858</v>
      </c>
      <c r="J196" s="8" t="s">
        <v>139</v>
      </c>
      <c r="K196" s="8" t="s">
        <v>90</v>
      </c>
      <c r="L196" s="8" t="s">
        <v>102</v>
      </c>
      <c r="M196" s="8" t="s">
        <v>797</v>
      </c>
      <c r="N196" s="8" t="s">
        <v>65</v>
      </c>
      <c r="O196" s="8" t="s">
        <v>140</v>
      </c>
      <c r="P196" s="8" t="s">
        <v>141</v>
      </c>
      <c r="Q196" s="8" t="s">
        <v>68</v>
      </c>
      <c r="R196" s="9">
        <v>45477</v>
      </c>
      <c r="S196" s="9">
        <v>45485</v>
      </c>
      <c r="T196" s="8" t="str">
        <f t="shared" si="3"/>
        <v>Cerrado</v>
      </c>
      <c r="U196" s="10">
        <f>IF(S196="",Listas!$I$1-B196,S196-B196)</f>
        <v>8</v>
      </c>
    </row>
    <row r="197" spans="1:21" x14ac:dyDescent="0.3">
      <c r="A197" s="8" t="s">
        <v>859</v>
      </c>
      <c r="B197" s="9">
        <v>45481</v>
      </c>
      <c r="C197" s="8" t="s">
        <v>860</v>
      </c>
      <c r="D197" s="8" t="s">
        <v>861</v>
      </c>
      <c r="E197" s="8" t="s">
        <v>116</v>
      </c>
      <c r="F197" s="8" t="s">
        <v>862</v>
      </c>
      <c r="G197" s="8" t="s">
        <v>74</v>
      </c>
      <c r="H197" s="8" t="s">
        <v>75</v>
      </c>
      <c r="I197" s="8" t="s">
        <v>863</v>
      </c>
      <c r="J197" s="8" t="s">
        <v>101</v>
      </c>
      <c r="K197" s="8" t="s">
        <v>90</v>
      </c>
      <c r="L197" s="8" t="s">
        <v>78</v>
      </c>
      <c r="M197" s="8" t="s">
        <v>797</v>
      </c>
      <c r="N197" s="8" t="s">
        <v>65</v>
      </c>
      <c r="O197" s="8" t="s">
        <v>103</v>
      </c>
      <c r="P197" s="8" t="s">
        <v>104</v>
      </c>
      <c r="Q197" s="8" t="s">
        <v>68</v>
      </c>
      <c r="R197" s="9">
        <v>45482</v>
      </c>
      <c r="S197" s="9">
        <v>45488</v>
      </c>
      <c r="T197" s="8" t="str">
        <f t="shared" si="3"/>
        <v>Cerrado</v>
      </c>
      <c r="U197" s="10">
        <f>IF(S197="",Listas!$I$1-B197,S197-B197)</f>
        <v>7</v>
      </c>
    </row>
    <row r="198" spans="1:21" x14ac:dyDescent="0.3">
      <c r="A198" s="8" t="s">
        <v>864</v>
      </c>
      <c r="B198" s="9">
        <v>45488</v>
      </c>
      <c r="C198" s="8" t="s">
        <v>852</v>
      </c>
      <c r="D198" s="8" t="s">
        <v>853</v>
      </c>
      <c r="E198" s="8" t="s">
        <v>116</v>
      </c>
      <c r="F198" s="8" t="s">
        <v>865</v>
      </c>
      <c r="G198" s="8" t="s">
        <v>334</v>
      </c>
      <c r="H198" s="8" t="s">
        <v>335</v>
      </c>
      <c r="I198" s="8" t="s">
        <v>866</v>
      </c>
      <c r="J198" s="8" t="s">
        <v>147</v>
      </c>
      <c r="K198" s="8" t="s">
        <v>62</v>
      </c>
      <c r="L198" s="8" t="s">
        <v>102</v>
      </c>
      <c r="M198" s="8" t="s">
        <v>797</v>
      </c>
      <c r="N198" s="8" t="s">
        <v>65</v>
      </c>
      <c r="O198" s="8" t="s">
        <v>148</v>
      </c>
      <c r="P198" s="8" t="s">
        <v>149</v>
      </c>
      <c r="Q198" s="8" t="s">
        <v>150</v>
      </c>
      <c r="R198" s="9">
        <v>45488</v>
      </c>
      <c r="S198" s="9">
        <v>45497</v>
      </c>
      <c r="T198" s="8" t="str">
        <f t="shared" si="3"/>
        <v>Cerrado</v>
      </c>
      <c r="U198" s="10">
        <f>IF(S198="",Listas!$I$1-B198,S198-B198)</f>
        <v>9</v>
      </c>
    </row>
    <row r="199" spans="1:21" x14ac:dyDescent="0.3">
      <c r="A199" s="8" t="s">
        <v>867</v>
      </c>
      <c r="B199" s="9">
        <v>45490</v>
      </c>
      <c r="C199" s="8" t="s">
        <v>70</v>
      </c>
      <c r="D199" s="8" t="s">
        <v>71</v>
      </c>
      <c r="E199" s="8" t="s">
        <v>72</v>
      </c>
      <c r="F199" s="8" t="s">
        <v>868</v>
      </c>
      <c r="G199" s="8" t="s">
        <v>175</v>
      </c>
      <c r="H199" s="8" t="s">
        <v>176</v>
      </c>
      <c r="I199" s="8" t="s">
        <v>869</v>
      </c>
      <c r="J199" s="8" t="s">
        <v>77</v>
      </c>
      <c r="K199" s="8" t="s">
        <v>62</v>
      </c>
      <c r="L199" s="8" t="s">
        <v>121</v>
      </c>
      <c r="M199" s="8" t="s">
        <v>797</v>
      </c>
      <c r="N199" s="8" t="s">
        <v>65</v>
      </c>
      <c r="O199" s="8" t="s">
        <v>79</v>
      </c>
      <c r="P199" s="8" t="s">
        <v>80</v>
      </c>
      <c r="Q199" s="8" t="s">
        <v>81</v>
      </c>
      <c r="R199" s="9">
        <v>45490</v>
      </c>
      <c r="S199" s="9">
        <v>45497</v>
      </c>
      <c r="T199" s="8" t="str">
        <f t="shared" si="3"/>
        <v>Cerrado</v>
      </c>
      <c r="U199" s="10">
        <f>IF(S199="",Listas!$I$1-B199,S199-B199)</f>
        <v>7</v>
      </c>
    </row>
    <row r="200" spans="1:21" x14ac:dyDescent="0.3">
      <c r="A200" s="8" t="s">
        <v>870</v>
      </c>
      <c r="B200" s="9">
        <v>45492</v>
      </c>
      <c r="C200" s="8" t="s">
        <v>157</v>
      </c>
      <c r="D200" s="8" t="s">
        <v>158</v>
      </c>
      <c r="E200" s="8" t="s">
        <v>116</v>
      </c>
      <c r="F200" s="8" t="s">
        <v>871</v>
      </c>
      <c r="G200" s="8" t="s">
        <v>109</v>
      </c>
      <c r="H200" s="8" t="s">
        <v>110</v>
      </c>
      <c r="I200" s="8" t="s">
        <v>872</v>
      </c>
      <c r="J200" s="8" t="s">
        <v>101</v>
      </c>
      <c r="K200" s="8" t="s">
        <v>90</v>
      </c>
      <c r="L200" s="8" t="s">
        <v>102</v>
      </c>
      <c r="M200" s="8" t="s">
        <v>797</v>
      </c>
      <c r="N200" s="8" t="s">
        <v>65</v>
      </c>
      <c r="O200" s="8" t="s">
        <v>103</v>
      </c>
      <c r="P200" s="8" t="s">
        <v>104</v>
      </c>
      <c r="Q200" s="8" t="s">
        <v>68</v>
      </c>
      <c r="R200" s="9">
        <v>45493</v>
      </c>
      <c r="S200" s="9">
        <v>45495</v>
      </c>
      <c r="T200" s="8" t="str">
        <f t="shared" si="3"/>
        <v>Cerrado</v>
      </c>
      <c r="U200" s="10">
        <f>IF(S200="",Listas!$I$1-B200,S200-B200)</f>
        <v>3</v>
      </c>
    </row>
    <row r="201" spans="1:21" x14ac:dyDescent="0.3">
      <c r="A201" s="8" t="s">
        <v>873</v>
      </c>
      <c r="B201" s="9">
        <v>45491</v>
      </c>
      <c r="C201" s="8" t="s">
        <v>341</v>
      </c>
      <c r="D201" s="8" t="s">
        <v>342</v>
      </c>
      <c r="E201" s="8" t="s">
        <v>125</v>
      </c>
      <c r="F201" s="8" t="s">
        <v>874</v>
      </c>
      <c r="G201" s="8" t="s">
        <v>466</v>
      </c>
      <c r="H201" s="8" t="s">
        <v>467</v>
      </c>
      <c r="I201" s="8" t="s">
        <v>875</v>
      </c>
      <c r="J201" s="8" t="s">
        <v>139</v>
      </c>
      <c r="K201" s="8" t="s">
        <v>112</v>
      </c>
      <c r="L201" s="8" t="s">
        <v>63</v>
      </c>
      <c r="M201" s="8" t="s">
        <v>797</v>
      </c>
      <c r="N201" s="8" t="s">
        <v>65</v>
      </c>
      <c r="O201" s="8" t="s">
        <v>140</v>
      </c>
      <c r="P201" s="8" t="s">
        <v>141</v>
      </c>
      <c r="Q201" s="8" t="s">
        <v>68</v>
      </c>
      <c r="R201" s="9">
        <v>45492</v>
      </c>
      <c r="S201" s="9">
        <v>45493</v>
      </c>
      <c r="T201" s="8" t="str">
        <f t="shared" si="3"/>
        <v>Cerrado</v>
      </c>
      <c r="U201" s="10">
        <f>IF(S201="",Listas!$I$1-B201,S201-B201)</f>
        <v>2</v>
      </c>
    </row>
    <row r="202" spans="1:21" x14ac:dyDescent="0.3">
      <c r="A202" s="8" t="s">
        <v>876</v>
      </c>
      <c r="B202" s="9">
        <v>45500</v>
      </c>
      <c r="C202" s="8" t="s">
        <v>323</v>
      </c>
      <c r="D202" s="8" t="s">
        <v>324</v>
      </c>
      <c r="E202" s="8" t="s">
        <v>125</v>
      </c>
      <c r="F202" s="8" t="s">
        <v>877</v>
      </c>
      <c r="G202" s="8" t="s">
        <v>197</v>
      </c>
      <c r="H202" s="8" t="s">
        <v>198</v>
      </c>
      <c r="I202" s="8" t="s">
        <v>878</v>
      </c>
      <c r="J202" s="8" t="s">
        <v>139</v>
      </c>
      <c r="K202" s="8" t="s">
        <v>90</v>
      </c>
      <c r="L202" s="8" t="s">
        <v>78</v>
      </c>
      <c r="M202" s="8" t="s">
        <v>797</v>
      </c>
      <c r="N202" s="8" t="s">
        <v>65</v>
      </c>
      <c r="O202" s="8" t="s">
        <v>140</v>
      </c>
      <c r="P202" s="8" t="s">
        <v>141</v>
      </c>
      <c r="Q202" s="8" t="s">
        <v>68</v>
      </c>
      <c r="R202" s="9">
        <v>45500</v>
      </c>
      <c r="S202" s="9">
        <v>45506</v>
      </c>
      <c r="T202" s="8" t="str">
        <f t="shared" si="3"/>
        <v>Cerrado</v>
      </c>
      <c r="U202" s="10">
        <f>IF(S202="",Listas!$I$1-B202,S202-B202)</f>
        <v>6</v>
      </c>
    </row>
    <row r="203" spans="1:21" x14ac:dyDescent="0.3">
      <c r="A203" s="8" t="s">
        <v>879</v>
      </c>
      <c r="B203" s="9">
        <v>45506</v>
      </c>
      <c r="C203" s="8" t="s">
        <v>234</v>
      </c>
      <c r="D203" s="8" t="s">
        <v>235</v>
      </c>
      <c r="E203" s="8" t="s">
        <v>116</v>
      </c>
      <c r="F203" s="8" t="s">
        <v>880</v>
      </c>
      <c r="G203" s="8" t="s">
        <v>197</v>
      </c>
      <c r="H203" s="8" t="s">
        <v>198</v>
      </c>
      <c r="I203" s="8" t="s">
        <v>881</v>
      </c>
      <c r="J203" s="8" t="s">
        <v>147</v>
      </c>
      <c r="K203" s="8" t="s">
        <v>90</v>
      </c>
      <c r="L203" s="8" t="s">
        <v>102</v>
      </c>
      <c r="M203" s="8" t="s">
        <v>797</v>
      </c>
      <c r="N203" s="8" t="s">
        <v>65</v>
      </c>
      <c r="O203" s="8" t="s">
        <v>148</v>
      </c>
      <c r="P203" s="8" t="s">
        <v>149</v>
      </c>
      <c r="Q203" s="8" t="s">
        <v>150</v>
      </c>
      <c r="R203" s="9">
        <v>45506</v>
      </c>
      <c r="S203" s="9">
        <v>45508</v>
      </c>
      <c r="T203" s="8" t="str">
        <f t="shared" si="3"/>
        <v>Cerrado</v>
      </c>
      <c r="U203" s="10">
        <f>IF(S203="",Listas!$I$1-B203,S203-B203)</f>
        <v>2</v>
      </c>
    </row>
    <row r="204" spans="1:21" x14ac:dyDescent="0.3">
      <c r="A204" s="8" t="s">
        <v>882</v>
      </c>
      <c r="B204" s="9">
        <v>45510</v>
      </c>
      <c r="C204" s="8" t="s">
        <v>721</v>
      </c>
      <c r="D204" s="8" t="s">
        <v>722</v>
      </c>
      <c r="E204" s="8" t="s">
        <v>96</v>
      </c>
      <c r="F204" s="8" t="s">
        <v>883</v>
      </c>
      <c r="G204" s="8" t="s">
        <v>127</v>
      </c>
      <c r="H204" s="8" t="s">
        <v>128</v>
      </c>
      <c r="I204" s="8" t="s">
        <v>884</v>
      </c>
      <c r="J204" s="8" t="s">
        <v>77</v>
      </c>
      <c r="K204" s="8" t="s">
        <v>62</v>
      </c>
      <c r="L204" s="8" t="s">
        <v>121</v>
      </c>
      <c r="M204" s="8" t="s">
        <v>797</v>
      </c>
      <c r="N204" s="8" t="s">
        <v>65</v>
      </c>
      <c r="O204" s="8" t="s">
        <v>79</v>
      </c>
      <c r="P204" s="8" t="s">
        <v>80</v>
      </c>
      <c r="Q204" s="8" t="s">
        <v>81</v>
      </c>
      <c r="R204" s="9">
        <v>45510</v>
      </c>
      <c r="S204" s="9">
        <v>45515</v>
      </c>
      <c r="T204" s="8" t="str">
        <f t="shared" si="3"/>
        <v>Cerrado</v>
      </c>
      <c r="U204" s="10">
        <f>IF(S204="",Listas!$I$1-B204,S204-B204)</f>
        <v>5</v>
      </c>
    </row>
    <row r="205" spans="1:21" x14ac:dyDescent="0.3">
      <c r="A205" s="8" t="s">
        <v>885</v>
      </c>
      <c r="B205" s="9">
        <v>45512</v>
      </c>
      <c r="C205" s="8" t="s">
        <v>341</v>
      </c>
      <c r="D205" s="8" t="s">
        <v>342</v>
      </c>
      <c r="E205" s="8" t="s">
        <v>125</v>
      </c>
      <c r="F205" s="8" t="s">
        <v>886</v>
      </c>
      <c r="G205" s="8" t="s">
        <v>197</v>
      </c>
      <c r="H205" s="8" t="s">
        <v>198</v>
      </c>
      <c r="I205" s="8" t="s">
        <v>884</v>
      </c>
      <c r="J205" s="8" t="s">
        <v>139</v>
      </c>
      <c r="K205" s="8" t="s">
        <v>62</v>
      </c>
      <c r="L205" s="8" t="s">
        <v>121</v>
      </c>
      <c r="M205" s="8" t="s">
        <v>797</v>
      </c>
      <c r="N205" s="8" t="s">
        <v>65</v>
      </c>
      <c r="O205" s="8" t="s">
        <v>140</v>
      </c>
      <c r="P205" s="8" t="s">
        <v>141</v>
      </c>
      <c r="Q205" s="8" t="s">
        <v>68</v>
      </c>
      <c r="R205" s="9">
        <v>45513</v>
      </c>
      <c r="S205" s="9">
        <v>45515</v>
      </c>
      <c r="T205" s="8" t="str">
        <f t="shared" si="3"/>
        <v>Cerrado</v>
      </c>
      <c r="U205" s="10">
        <f>IF(S205="",Listas!$I$1-B205,S205-B205)</f>
        <v>3</v>
      </c>
    </row>
    <row r="206" spans="1:21" x14ac:dyDescent="0.3">
      <c r="A206" s="8" t="s">
        <v>887</v>
      </c>
      <c r="B206" s="9">
        <v>45515</v>
      </c>
      <c r="C206" s="8" t="s">
        <v>123</v>
      </c>
      <c r="D206" s="8" t="s">
        <v>124</v>
      </c>
      <c r="E206" s="8" t="s">
        <v>125</v>
      </c>
      <c r="F206" s="8" t="s">
        <v>888</v>
      </c>
      <c r="G206" s="8" t="s">
        <v>58</v>
      </c>
      <c r="H206" s="8" t="s">
        <v>59</v>
      </c>
      <c r="I206" s="8" t="s">
        <v>889</v>
      </c>
      <c r="J206" s="8" t="s">
        <v>178</v>
      </c>
      <c r="K206" s="8" t="s">
        <v>112</v>
      </c>
      <c r="L206" s="8" t="s">
        <v>63</v>
      </c>
      <c r="M206" s="8" t="s">
        <v>797</v>
      </c>
      <c r="N206" s="8" t="s">
        <v>65</v>
      </c>
      <c r="O206" s="8" t="s">
        <v>179</v>
      </c>
      <c r="P206" s="8" t="s">
        <v>180</v>
      </c>
      <c r="Q206" s="8" t="s">
        <v>150</v>
      </c>
      <c r="R206" s="9">
        <v>45516</v>
      </c>
      <c r="S206" s="9">
        <v>45523</v>
      </c>
      <c r="T206" s="8" t="str">
        <f t="shared" si="3"/>
        <v>Cerrado</v>
      </c>
      <c r="U206" s="10">
        <f>IF(S206="",Listas!$I$1-B206,S206-B206)</f>
        <v>8</v>
      </c>
    </row>
    <row r="207" spans="1:21" x14ac:dyDescent="0.3">
      <c r="A207" s="8" t="s">
        <v>890</v>
      </c>
      <c r="B207" s="9">
        <v>45520</v>
      </c>
      <c r="C207" s="8" t="s">
        <v>143</v>
      </c>
      <c r="D207" s="8" t="s">
        <v>144</v>
      </c>
      <c r="E207" s="8" t="s">
        <v>72</v>
      </c>
      <c r="F207" s="8" t="s">
        <v>891</v>
      </c>
      <c r="G207" s="8" t="s">
        <v>74</v>
      </c>
      <c r="H207" s="8" t="s">
        <v>75</v>
      </c>
      <c r="I207" s="8" t="s">
        <v>892</v>
      </c>
      <c r="J207" s="8" t="s">
        <v>101</v>
      </c>
      <c r="K207" s="8" t="s">
        <v>112</v>
      </c>
      <c r="L207" s="8" t="s">
        <v>78</v>
      </c>
      <c r="M207" s="8" t="s">
        <v>797</v>
      </c>
      <c r="N207" s="8" t="s">
        <v>65</v>
      </c>
      <c r="O207" s="8" t="s">
        <v>103</v>
      </c>
      <c r="P207" s="8" t="s">
        <v>104</v>
      </c>
      <c r="Q207" s="8" t="s">
        <v>68</v>
      </c>
      <c r="R207" s="9">
        <v>45521</v>
      </c>
      <c r="S207" s="9">
        <v>45524</v>
      </c>
      <c r="T207" s="8" t="str">
        <f t="shared" si="3"/>
        <v>Cerrado</v>
      </c>
      <c r="U207" s="10">
        <f>IF(S207="",Listas!$I$1-B207,S207-B207)</f>
        <v>4</v>
      </c>
    </row>
    <row r="208" spans="1:21" x14ac:dyDescent="0.3">
      <c r="A208" s="8" t="s">
        <v>893</v>
      </c>
      <c r="B208" s="9">
        <v>45525</v>
      </c>
      <c r="C208" s="8" t="s">
        <v>456</v>
      </c>
      <c r="D208" s="8" t="s">
        <v>457</v>
      </c>
      <c r="E208" s="8" t="s">
        <v>116</v>
      </c>
      <c r="F208" s="8" t="s">
        <v>894</v>
      </c>
      <c r="G208" s="8" t="s">
        <v>160</v>
      </c>
      <c r="H208" s="8" t="s">
        <v>161</v>
      </c>
      <c r="I208" s="8" t="s">
        <v>895</v>
      </c>
      <c r="J208" s="8" t="s">
        <v>101</v>
      </c>
      <c r="K208" s="8" t="s">
        <v>90</v>
      </c>
      <c r="L208" s="8" t="s">
        <v>102</v>
      </c>
      <c r="M208" s="8" t="s">
        <v>797</v>
      </c>
      <c r="N208" s="8" t="s">
        <v>65</v>
      </c>
      <c r="O208" s="8" t="s">
        <v>103</v>
      </c>
      <c r="P208" s="8" t="s">
        <v>104</v>
      </c>
      <c r="Q208" s="8" t="s">
        <v>68</v>
      </c>
      <c r="R208" s="9">
        <v>45526</v>
      </c>
      <c r="S208" s="9">
        <v>45529</v>
      </c>
      <c r="T208" s="8" t="str">
        <f t="shared" si="3"/>
        <v>Cerrado</v>
      </c>
      <c r="U208" s="10">
        <f>IF(S208="",Listas!$I$1-B208,S208-B208)</f>
        <v>4</v>
      </c>
    </row>
    <row r="209" spans="1:21" x14ac:dyDescent="0.3">
      <c r="A209" s="8" t="s">
        <v>896</v>
      </c>
      <c r="B209" s="9">
        <v>45532</v>
      </c>
      <c r="C209" s="8" t="s">
        <v>70</v>
      </c>
      <c r="D209" s="8" t="s">
        <v>71</v>
      </c>
      <c r="E209" s="8" t="s">
        <v>72</v>
      </c>
      <c r="F209" s="8" t="s">
        <v>897</v>
      </c>
      <c r="G209" s="8" t="s">
        <v>449</v>
      </c>
      <c r="H209" s="8" t="s">
        <v>450</v>
      </c>
      <c r="I209" s="8" t="s">
        <v>898</v>
      </c>
      <c r="J209" s="8" t="s">
        <v>89</v>
      </c>
      <c r="K209" s="8" t="s">
        <v>90</v>
      </c>
      <c r="L209" s="8" t="s">
        <v>121</v>
      </c>
      <c r="M209" s="8" t="s">
        <v>797</v>
      </c>
      <c r="N209" s="8" t="s">
        <v>65</v>
      </c>
      <c r="O209" s="8" t="s">
        <v>91</v>
      </c>
      <c r="P209" s="8" t="s">
        <v>92</v>
      </c>
      <c r="Q209" s="8" t="s">
        <v>81</v>
      </c>
      <c r="R209" s="9">
        <v>45533</v>
      </c>
      <c r="S209" s="9">
        <v>45536</v>
      </c>
      <c r="T209" s="8" t="str">
        <f t="shared" si="3"/>
        <v>Cerrado</v>
      </c>
      <c r="U209" s="10">
        <f>IF(S209="",Listas!$I$1-B209,S209-B209)</f>
        <v>4</v>
      </c>
    </row>
    <row r="210" spans="1:21" x14ac:dyDescent="0.3">
      <c r="A210" s="8" t="s">
        <v>899</v>
      </c>
      <c r="B210" s="9">
        <v>45532</v>
      </c>
      <c r="C210" s="8" t="s">
        <v>220</v>
      </c>
      <c r="D210" s="8" t="s">
        <v>221</v>
      </c>
      <c r="E210" s="8" t="s">
        <v>125</v>
      </c>
      <c r="F210" s="8" t="s">
        <v>900</v>
      </c>
      <c r="G210" s="8" t="s">
        <v>74</v>
      </c>
      <c r="H210" s="8" t="s">
        <v>75</v>
      </c>
      <c r="I210" s="8" t="s">
        <v>901</v>
      </c>
      <c r="J210" s="8" t="s">
        <v>61</v>
      </c>
      <c r="K210" s="8" t="s">
        <v>112</v>
      </c>
      <c r="L210" s="8" t="s">
        <v>121</v>
      </c>
      <c r="M210" s="8" t="s">
        <v>797</v>
      </c>
      <c r="N210" s="8" t="s">
        <v>65</v>
      </c>
      <c r="O210" s="8" t="s">
        <v>66</v>
      </c>
      <c r="P210" s="8" t="s">
        <v>67</v>
      </c>
      <c r="Q210" s="8" t="s">
        <v>68</v>
      </c>
      <c r="R210" s="9">
        <v>45533</v>
      </c>
      <c r="S210" s="9">
        <v>45537</v>
      </c>
      <c r="T210" s="8" t="str">
        <f t="shared" si="3"/>
        <v>Cerrado</v>
      </c>
      <c r="U210" s="10">
        <f>IF(S210="",Listas!$I$1-B210,S210-B210)</f>
        <v>5</v>
      </c>
    </row>
    <row r="211" spans="1:21" x14ac:dyDescent="0.3">
      <c r="A211" s="8" t="s">
        <v>902</v>
      </c>
      <c r="B211" s="9">
        <v>45534</v>
      </c>
      <c r="C211" s="8" t="s">
        <v>820</v>
      </c>
      <c r="D211" s="8" t="s">
        <v>821</v>
      </c>
      <c r="E211" s="8" t="s">
        <v>72</v>
      </c>
      <c r="F211" s="8" t="s">
        <v>903</v>
      </c>
      <c r="G211" s="8" t="s">
        <v>449</v>
      </c>
      <c r="H211" s="8" t="s">
        <v>450</v>
      </c>
      <c r="I211" s="8" t="s">
        <v>904</v>
      </c>
      <c r="J211" s="8" t="s">
        <v>77</v>
      </c>
      <c r="K211" s="8" t="s">
        <v>90</v>
      </c>
      <c r="L211" s="8" t="s">
        <v>121</v>
      </c>
      <c r="M211" s="8" t="s">
        <v>797</v>
      </c>
      <c r="N211" s="8" t="s">
        <v>65</v>
      </c>
      <c r="O211" s="8" t="s">
        <v>79</v>
      </c>
      <c r="P211" s="8" t="s">
        <v>80</v>
      </c>
      <c r="Q211" s="8" t="s">
        <v>81</v>
      </c>
      <c r="R211" s="9">
        <v>45535</v>
      </c>
      <c r="S211" s="9">
        <v>45538</v>
      </c>
      <c r="T211" s="8" t="str">
        <f t="shared" si="3"/>
        <v>Cerrado</v>
      </c>
      <c r="U211" s="10">
        <f>IF(S211="",Listas!$I$1-B211,S211-B211)</f>
        <v>4</v>
      </c>
    </row>
    <row r="212" spans="1:21" x14ac:dyDescent="0.3">
      <c r="A212" s="8" t="s">
        <v>905</v>
      </c>
      <c r="B212" s="9">
        <v>45530</v>
      </c>
      <c r="C212" s="8" t="s">
        <v>189</v>
      </c>
      <c r="D212" s="8" t="s">
        <v>190</v>
      </c>
      <c r="E212" s="8" t="s">
        <v>72</v>
      </c>
      <c r="F212" s="8" t="s">
        <v>906</v>
      </c>
      <c r="G212" s="8" t="s">
        <v>466</v>
      </c>
      <c r="H212" s="8" t="s">
        <v>467</v>
      </c>
      <c r="I212" s="8" t="s">
        <v>898</v>
      </c>
      <c r="J212" s="8" t="s">
        <v>139</v>
      </c>
      <c r="K212" s="8" t="s">
        <v>90</v>
      </c>
      <c r="L212" s="8" t="s">
        <v>102</v>
      </c>
      <c r="M212" s="8" t="s">
        <v>797</v>
      </c>
      <c r="N212" s="8" t="s">
        <v>65</v>
      </c>
      <c r="O212" s="8" t="s">
        <v>140</v>
      </c>
      <c r="P212" s="8" t="s">
        <v>141</v>
      </c>
      <c r="Q212" s="8" t="s">
        <v>68</v>
      </c>
      <c r="R212" s="9">
        <v>45530</v>
      </c>
      <c r="S212" s="9">
        <v>45536</v>
      </c>
      <c r="T212" s="8" t="str">
        <f t="shared" si="3"/>
        <v>Cerrado</v>
      </c>
      <c r="U212" s="10">
        <f>IF(S212="",Listas!$I$1-B212,S212-B212)</f>
        <v>6</v>
      </c>
    </row>
    <row r="213" spans="1:21" x14ac:dyDescent="0.3">
      <c r="A213" s="8" t="s">
        <v>907</v>
      </c>
      <c r="B213" s="9">
        <v>45539</v>
      </c>
      <c r="C213" s="8" t="s">
        <v>372</v>
      </c>
      <c r="D213" s="8" t="s">
        <v>373</v>
      </c>
      <c r="E213" s="8" t="s">
        <v>125</v>
      </c>
      <c r="F213" s="8" t="s">
        <v>908</v>
      </c>
      <c r="G213" s="8" t="s">
        <v>98</v>
      </c>
      <c r="H213" s="8" t="s">
        <v>99</v>
      </c>
      <c r="I213" s="8" t="s">
        <v>909</v>
      </c>
      <c r="J213" s="8" t="s">
        <v>101</v>
      </c>
      <c r="K213" s="8" t="s">
        <v>90</v>
      </c>
      <c r="L213" s="8" t="s">
        <v>63</v>
      </c>
      <c r="M213" s="8" t="s">
        <v>797</v>
      </c>
      <c r="N213" s="8" t="s">
        <v>65</v>
      </c>
      <c r="O213" s="8" t="s">
        <v>103</v>
      </c>
      <c r="P213" s="8" t="s">
        <v>104</v>
      </c>
      <c r="Q213" s="8" t="s">
        <v>68</v>
      </c>
      <c r="R213" s="9">
        <v>45539</v>
      </c>
      <c r="S213" s="9">
        <v>45545</v>
      </c>
      <c r="T213" s="8" t="str">
        <f t="shared" si="3"/>
        <v>Cerrado</v>
      </c>
      <c r="U213" s="10">
        <f>IF(S213="",Listas!$I$1-B213,S213-B213)</f>
        <v>6</v>
      </c>
    </row>
    <row r="214" spans="1:21" x14ac:dyDescent="0.3">
      <c r="A214" s="8" t="s">
        <v>910</v>
      </c>
      <c r="B214" s="9">
        <v>45541</v>
      </c>
      <c r="C214" s="8" t="s">
        <v>911</v>
      </c>
      <c r="D214" s="8" t="s">
        <v>912</v>
      </c>
      <c r="E214" s="8" t="s">
        <v>116</v>
      </c>
      <c r="F214" s="8" t="s">
        <v>913</v>
      </c>
      <c r="G214" s="8" t="s">
        <v>368</v>
      </c>
      <c r="H214" s="8" t="s">
        <v>369</v>
      </c>
      <c r="I214" s="8" t="s">
        <v>914</v>
      </c>
      <c r="J214" s="8" t="s">
        <v>178</v>
      </c>
      <c r="K214" s="8" t="s">
        <v>112</v>
      </c>
      <c r="L214" s="8" t="s">
        <v>78</v>
      </c>
      <c r="M214" s="8" t="s">
        <v>797</v>
      </c>
      <c r="N214" s="8" t="s">
        <v>65</v>
      </c>
      <c r="O214" s="8" t="s">
        <v>179</v>
      </c>
      <c r="P214" s="8" t="s">
        <v>180</v>
      </c>
      <c r="Q214" s="8" t="s">
        <v>150</v>
      </c>
      <c r="R214" s="9">
        <v>45542</v>
      </c>
      <c r="S214" s="9">
        <v>45547</v>
      </c>
      <c r="T214" s="8" t="str">
        <f t="shared" si="3"/>
        <v>Cerrado</v>
      </c>
      <c r="U214" s="10">
        <f>IF(S214="",Listas!$I$1-B214,S214-B214)</f>
        <v>6</v>
      </c>
    </row>
    <row r="215" spans="1:21" x14ac:dyDescent="0.3">
      <c r="A215" s="8" t="s">
        <v>915</v>
      </c>
      <c r="B215" s="9">
        <v>45541</v>
      </c>
      <c r="C215" s="8" t="s">
        <v>323</v>
      </c>
      <c r="D215" s="8" t="s">
        <v>324</v>
      </c>
      <c r="E215" s="8" t="s">
        <v>125</v>
      </c>
      <c r="F215" s="8" t="s">
        <v>916</v>
      </c>
      <c r="G215" s="8" t="s">
        <v>211</v>
      </c>
      <c r="H215" s="8" t="s">
        <v>212</v>
      </c>
      <c r="I215" s="8" t="s">
        <v>917</v>
      </c>
      <c r="J215" s="8" t="s">
        <v>61</v>
      </c>
      <c r="K215" s="8" t="s">
        <v>90</v>
      </c>
      <c r="L215" s="8" t="s">
        <v>121</v>
      </c>
      <c r="M215" s="8" t="s">
        <v>797</v>
      </c>
      <c r="N215" s="8" t="s">
        <v>65</v>
      </c>
      <c r="O215" s="8" t="s">
        <v>66</v>
      </c>
      <c r="P215" s="8" t="s">
        <v>67</v>
      </c>
      <c r="Q215" s="8" t="s">
        <v>68</v>
      </c>
      <c r="R215" s="9">
        <v>45541</v>
      </c>
      <c r="S215" s="9">
        <v>45548</v>
      </c>
      <c r="T215" s="8" t="str">
        <f t="shared" si="3"/>
        <v>Cerrado</v>
      </c>
      <c r="U215" s="10">
        <f>IF(S215="",Listas!$I$1-B215,S215-B215)</f>
        <v>7</v>
      </c>
    </row>
    <row r="216" spans="1:21" x14ac:dyDescent="0.3">
      <c r="A216" s="8" t="s">
        <v>918</v>
      </c>
      <c r="B216" s="9">
        <v>45547</v>
      </c>
      <c r="C216" s="8" t="s">
        <v>583</v>
      </c>
      <c r="D216" s="8" t="s">
        <v>584</v>
      </c>
      <c r="E216" s="8" t="s">
        <v>116</v>
      </c>
      <c r="F216" s="8" t="s">
        <v>919</v>
      </c>
      <c r="G216" s="8" t="s">
        <v>204</v>
      </c>
      <c r="H216" s="8" t="s">
        <v>205</v>
      </c>
      <c r="I216" s="8" t="s">
        <v>920</v>
      </c>
      <c r="J216" s="8" t="s">
        <v>61</v>
      </c>
      <c r="K216" s="8" t="s">
        <v>90</v>
      </c>
      <c r="L216" s="8" t="s">
        <v>121</v>
      </c>
      <c r="M216" s="8" t="s">
        <v>797</v>
      </c>
      <c r="N216" s="8" t="s">
        <v>65</v>
      </c>
      <c r="O216" s="8" t="s">
        <v>66</v>
      </c>
      <c r="P216" s="8" t="s">
        <v>67</v>
      </c>
      <c r="Q216" s="8" t="s">
        <v>68</v>
      </c>
      <c r="R216" s="9">
        <v>45547</v>
      </c>
      <c r="S216" s="9">
        <v>45550</v>
      </c>
      <c r="T216" s="8" t="str">
        <f t="shared" si="3"/>
        <v>Cerrado</v>
      </c>
      <c r="U216" s="10">
        <f>IF(S216="",Listas!$I$1-B216,S216-B216)</f>
        <v>3</v>
      </c>
    </row>
    <row r="217" spans="1:21" x14ac:dyDescent="0.3">
      <c r="A217" s="8" t="s">
        <v>921</v>
      </c>
      <c r="B217" s="9">
        <v>45556</v>
      </c>
      <c r="C217" s="8" t="s">
        <v>681</v>
      </c>
      <c r="D217" s="8" t="s">
        <v>682</v>
      </c>
      <c r="E217" s="8" t="s">
        <v>116</v>
      </c>
      <c r="F217" s="8" t="s">
        <v>922</v>
      </c>
      <c r="G217" s="8" t="s">
        <v>368</v>
      </c>
      <c r="H217" s="8" t="s">
        <v>369</v>
      </c>
      <c r="I217" s="8" t="s">
        <v>923</v>
      </c>
      <c r="J217" s="8" t="s">
        <v>139</v>
      </c>
      <c r="K217" s="8" t="s">
        <v>90</v>
      </c>
      <c r="L217" s="8" t="s">
        <v>121</v>
      </c>
      <c r="M217" s="8" t="s">
        <v>797</v>
      </c>
      <c r="N217" s="8" t="s">
        <v>65</v>
      </c>
      <c r="O217" s="8" t="s">
        <v>140</v>
      </c>
      <c r="P217" s="8" t="s">
        <v>141</v>
      </c>
      <c r="Q217" s="8" t="s">
        <v>68</v>
      </c>
      <c r="R217" s="9">
        <v>45556</v>
      </c>
      <c r="S217" s="9">
        <v>45562</v>
      </c>
      <c r="T217" s="8" t="str">
        <f t="shared" si="3"/>
        <v>Cerrado</v>
      </c>
      <c r="U217" s="10">
        <f>IF(S217="",Listas!$I$1-B217,S217-B217)</f>
        <v>6</v>
      </c>
    </row>
    <row r="218" spans="1:21" x14ac:dyDescent="0.3">
      <c r="A218" s="8" t="s">
        <v>924</v>
      </c>
      <c r="B218" s="9">
        <v>45556</v>
      </c>
      <c r="C218" s="8" t="s">
        <v>404</v>
      </c>
      <c r="D218" s="8" t="s">
        <v>405</v>
      </c>
      <c r="E218" s="8" t="s">
        <v>96</v>
      </c>
      <c r="F218" s="8" t="s">
        <v>925</v>
      </c>
      <c r="G218" s="8" t="s">
        <v>392</v>
      </c>
      <c r="H218" s="8" t="s">
        <v>393</v>
      </c>
      <c r="I218" s="8" t="s">
        <v>926</v>
      </c>
      <c r="J218" s="8" t="s">
        <v>178</v>
      </c>
      <c r="K218" s="8" t="s">
        <v>62</v>
      </c>
      <c r="L218" s="8" t="s">
        <v>102</v>
      </c>
      <c r="M218" s="8" t="s">
        <v>797</v>
      </c>
      <c r="N218" s="8" t="s">
        <v>65</v>
      </c>
      <c r="O218" s="8" t="s">
        <v>179</v>
      </c>
      <c r="P218" s="8" t="s">
        <v>180</v>
      </c>
      <c r="Q218" s="8" t="s">
        <v>150</v>
      </c>
      <c r="R218" s="9">
        <v>45556</v>
      </c>
      <c r="S218" s="9">
        <v>45560</v>
      </c>
      <c r="T218" s="8" t="str">
        <f t="shared" si="3"/>
        <v>Cerrado</v>
      </c>
      <c r="U218" s="10">
        <f>IF(S218="",Listas!$I$1-B218,S218-B218)</f>
        <v>4</v>
      </c>
    </row>
    <row r="219" spans="1:21" x14ac:dyDescent="0.3">
      <c r="A219" s="8" t="s">
        <v>927</v>
      </c>
      <c r="B219" s="9">
        <v>45567</v>
      </c>
      <c r="C219" s="8" t="s">
        <v>234</v>
      </c>
      <c r="D219" s="8" t="s">
        <v>235</v>
      </c>
      <c r="E219" s="8" t="s">
        <v>116</v>
      </c>
      <c r="F219" s="8" t="s">
        <v>928</v>
      </c>
      <c r="G219" s="8" t="s">
        <v>185</v>
      </c>
      <c r="H219" s="8" t="s">
        <v>186</v>
      </c>
      <c r="I219" s="8" t="s">
        <v>929</v>
      </c>
      <c r="J219" s="8" t="s">
        <v>61</v>
      </c>
      <c r="K219" s="8" t="s">
        <v>90</v>
      </c>
      <c r="L219" s="8" t="s">
        <v>63</v>
      </c>
      <c r="M219" s="8" t="s">
        <v>797</v>
      </c>
      <c r="N219" s="8" t="s">
        <v>65</v>
      </c>
      <c r="O219" s="8" t="s">
        <v>66</v>
      </c>
      <c r="P219" s="8" t="s">
        <v>67</v>
      </c>
      <c r="Q219" s="8" t="s">
        <v>68</v>
      </c>
      <c r="R219" s="9">
        <v>45568</v>
      </c>
      <c r="S219" s="9">
        <v>45571</v>
      </c>
      <c r="T219" s="8" t="str">
        <f t="shared" si="3"/>
        <v>Cerrado</v>
      </c>
      <c r="U219" s="10">
        <f>IF(S219="",Listas!$I$1-B219,S219-B219)</f>
        <v>4</v>
      </c>
    </row>
    <row r="220" spans="1:21" x14ac:dyDescent="0.3">
      <c r="A220" s="8" t="s">
        <v>930</v>
      </c>
      <c r="B220" s="9">
        <v>45568</v>
      </c>
      <c r="C220" s="8" t="s">
        <v>588</v>
      </c>
      <c r="D220" s="8" t="s">
        <v>589</v>
      </c>
      <c r="E220" s="8" t="s">
        <v>116</v>
      </c>
      <c r="F220" s="8" t="s">
        <v>931</v>
      </c>
      <c r="G220" s="8" t="s">
        <v>418</v>
      </c>
      <c r="H220" s="8" t="s">
        <v>419</v>
      </c>
      <c r="I220" s="8" t="s">
        <v>932</v>
      </c>
      <c r="J220" s="8" t="s">
        <v>101</v>
      </c>
      <c r="K220" s="8" t="s">
        <v>112</v>
      </c>
      <c r="L220" s="8" t="s">
        <v>63</v>
      </c>
      <c r="M220" s="8" t="s">
        <v>797</v>
      </c>
      <c r="N220" s="8" t="s">
        <v>65</v>
      </c>
      <c r="O220" s="8" t="s">
        <v>103</v>
      </c>
      <c r="P220" s="8" t="s">
        <v>104</v>
      </c>
      <c r="Q220" s="8" t="s">
        <v>68</v>
      </c>
      <c r="R220" s="9">
        <v>45568</v>
      </c>
      <c r="S220" s="9">
        <v>45575</v>
      </c>
      <c r="T220" s="8" t="str">
        <f t="shared" si="3"/>
        <v>Cerrado</v>
      </c>
      <c r="U220" s="10">
        <f>IF(S220="",Listas!$I$1-B220,S220-B220)</f>
        <v>7</v>
      </c>
    </row>
    <row r="221" spans="1:21" x14ac:dyDescent="0.3">
      <c r="A221" s="8" t="s">
        <v>933</v>
      </c>
      <c r="B221" s="9">
        <v>45568</v>
      </c>
      <c r="C221" s="8" t="s">
        <v>934</v>
      </c>
      <c r="D221" s="8" t="s">
        <v>935</v>
      </c>
      <c r="E221" s="8" t="s">
        <v>72</v>
      </c>
      <c r="F221" s="8" t="s">
        <v>936</v>
      </c>
      <c r="G221" s="8" t="s">
        <v>98</v>
      </c>
      <c r="H221" s="8" t="s">
        <v>99</v>
      </c>
      <c r="I221" s="8" t="s">
        <v>937</v>
      </c>
      <c r="J221" s="8" t="s">
        <v>178</v>
      </c>
      <c r="K221" s="8" t="s">
        <v>90</v>
      </c>
      <c r="L221" s="8" t="s">
        <v>78</v>
      </c>
      <c r="M221" s="8" t="s">
        <v>797</v>
      </c>
      <c r="N221" s="8" t="s">
        <v>65</v>
      </c>
      <c r="O221" s="8" t="s">
        <v>179</v>
      </c>
      <c r="P221" s="8" t="s">
        <v>180</v>
      </c>
      <c r="Q221" s="8" t="s">
        <v>150</v>
      </c>
      <c r="R221" s="9">
        <v>45569</v>
      </c>
      <c r="S221" s="9">
        <v>45572</v>
      </c>
      <c r="T221" s="8" t="str">
        <f t="shared" si="3"/>
        <v>Cerrado</v>
      </c>
      <c r="U221" s="10">
        <f>IF(S221="",Listas!$I$1-B221,S221-B221)</f>
        <v>4</v>
      </c>
    </row>
    <row r="222" spans="1:21" x14ac:dyDescent="0.3">
      <c r="A222" s="8" t="s">
        <v>938</v>
      </c>
      <c r="B222" s="9">
        <v>45569</v>
      </c>
      <c r="C222" s="8" t="s">
        <v>939</v>
      </c>
      <c r="D222" s="8" t="s">
        <v>940</v>
      </c>
      <c r="E222" s="8" t="s">
        <v>116</v>
      </c>
      <c r="F222" s="8" t="s">
        <v>941</v>
      </c>
      <c r="G222" s="8" t="s">
        <v>109</v>
      </c>
      <c r="H222" s="8" t="s">
        <v>110</v>
      </c>
      <c r="I222" s="8" t="s">
        <v>942</v>
      </c>
      <c r="J222" s="8" t="s">
        <v>147</v>
      </c>
      <c r="K222" s="8" t="s">
        <v>90</v>
      </c>
      <c r="L222" s="8" t="s">
        <v>121</v>
      </c>
      <c r="M222" s="8" t="s">
        <v>797</v>
      </c>
      <c r="N222" s="8" t="s">
        <v>65</v>
      </c>
      <c r="O222" s="8" t="s">
        <v>148</v>
      </c>
      <c r="P222" s="8" t="s">
        <v>149</v>
      </c>
      <c r="Q222" s="8" t="s">
        <v>150</v>
      </c>
      <c r="R222" s="9">
        <v>45570</v>
      </c>
      <c r="S222" s="9">
        <v>45573</v>
      </c>
      <c r="T222" s="8" t="str">
        <f t="shared" si="3"/>
        <v>Cerrado</v>
      </c>
      <c r="U222" s="10">
        <f>IF(S222="",Listas!$I$1-B222,S222-B222)</f>
        <v>4</v>
      </c>
    </row>
    <row r="223" spans="1:21" x14ac:dyDescent="0.3">
      <c r="A223" s="8" t="s">
        <v>943</v>
      </c>
      <c r="B223" s="9">
        <v>45567</v>
      </c>
      <c r="C223" s="8" t="s">
        <v>944</v>
      </c>
      <c r="D223" s="8" t="s">
        <v>945</v>
      </c>
      <c r="E223" s="8" t="s">
        <v>96</v>
      </c>
      <c r="F223" s="8" t="s">
        <v>946</v>
      </c>
      <c r="G223" s="8" t="s">
        <v>230</v>
      </c>
      <c r="H223" s="8" t="s">
        <v>231</v>
      </c>
      <c r="I223" s="8" t="s">
        <v>947</v>
      </c>
      <c r="J223" s="8" t="s">
        <v>178</v>
      </c>
      <c r="K223" s="8" t="s">
        <v>62</v>
      </c>
      <c r="L223" s="8" t="s">
        <v>121</v>
      </c>
      <c r="M223" s="8" t="s">
        <v>797</v>
      </c>
      <c r="N223" s="8" t="s">
        <v>65</v>
      </c>
      <c r="O223" s="8" t="s">
        <v>179</v>
      </c>
      <c r="P223" s="8" t="s">
        <v>180</v>
      </c>
      <c r="Q223" s="8" t="s">
        <v>150</v>
      </c>
      <c r="R223" s="9">
        <v>45567</v>
      </c>
      <c r="S223" s="9">
        <v>45570</v>
      </c>
      <c r="T223" s="8" t="str">
        <f t="shared" si="3"/>
        <v>Cerrado</v>
      </c>
      <c r="U223" s="10">
        <f>IF(S223="",Listas!$I$1-B223,S223-B223)</f>
        <v>3</v>
      </c>
    </row>
    <row r="224" spans="1:21" x14ac:dyDescent="0.3">
      <c r="A224" s="8" t="s">
        <v>948</v>
      </c>
      <c r="B224" s="9">
        <v>45575</v>
      </c>
      <c r="C224" s="8" t="s">
        <v>123</v>
      </c>
      <c r="D224" s="8" t="s">
        <v>124</v>
      </c>
      <c r="E224" s="8" t="s">
        <v>125</v>
      </c>
      <c r="F224" s="8" t="s">
        <v>949</v>
      </c>
      <c r="G224" s="8" t="s">
        <v>334</v>
      </c>
      <c r="H224" s="8" t="s">
        <v>335</v>
      </c>
      <c r="I224" s="8" t="s">
        <v>950</v>
      </c>
      <c r="J224" s="8" t="s">
        <v>89</v>
      </c>
      <c r="K224" s="8" t="s">
        <v>90</v>
      </c>
      <c r="L224" s="8" t="s">
        <v>63</v>
      </c>
      <c r="M224" s="8" t="s">
        <v>797</v>
      </c>
      <c r="N224" s="8" t="s">
        <v>65</v>
      </c>
      <c r="O224" s="8" t="s">
        <v>91</v>
      </c>
      <c r="P224" s="8" t="s">
        <v>92</v>
      </c>
      <c r="Q224" s="8" t="s">
        <v>81</v>
      </c>
      <c r="R224" s="9">
        <v>45576</v>
      </c>
      <c r="S224" s="9">
        <v>45577</v>
      </c>
      <c r="T224" s="8" t="str">
        <f t="shared" si="3"/>
        <v>Cerrado</v>
      </c>
      <c r="U224" s="10">
        <f>IF(S224="",Listas!$I$1-B224,S224-B224)</f>
        <v>2</v>
      </c>
    </row>
    <row r="225" spans="1:21" x14ac:dyDescent="0.3">
      <c r="A225" s="8" t="s">
        <v>951</v>
      </c>
      <c r="B225" s="9">
        <v>45585</v>
      </c>
      <c r="C225" s="8" t="s">
        <v>952</v>
      </c>
      <c r="D225" s="8" t="s">
        <v>953</v>
      </c>
      <c r="E225" s="8" t="s">
        <v>72</v>
      </c>
      <c r="F225" s="8" t="s">
        <v>954</v>
      </c>
      <c r="G225" s="8" t="s">
        <v>466</v>
      </c>
      <c r="H225" s="8" t="s">
        <v>467</v>
      </c>
      <c r="I225" s="8" t="s">
        <v>955</v>
      </c>
      <c r="J225" s="8" t="s">
        <v>77</v>
      </c>
      <c r="K225" s="8" t="s">
        <v>90</v>
      </c>
      <c r="L225" s="8" t="s">
        <v>121</v>
      </c>
      <c r="M225" s="8" t="s">
        <v>797</v>
      </c>
      <c r="N225" s="8" t="s">
        <v>65</v>
      </c>
      <c r="O225" s="8" t="s">
        <v>79</v>
      </c>
      <c r="P225" s="8" t="s">
        <v>80</v>
      </c>
      <c r="Q225" s="8" t="s">
        <v>81</v>
      </c>
      <c r="R225" s="9">
        <v>45585</v>
      </c>
      <c r="S225" s="9">
        <v>45586</v>
      </c>
      <c r="T225" s="8" t="str">
        <f t="shared" si="3"/>
        <v>Cerrado</v>
      </c>
      <c r="U225" s="10">
        <f>IF(S225="",Listas!$I$1-B225,S225-B225)</f>
        <v>1</v>
      </c>
    </row>
    <row r="226" spans="1:21" x14ac:dyDescent="0.3">
      <c r="A226" s="8" t="s">
        <v>956</v>
      </c>
      <c r="B226" s="9">
        <v>45591</v>
      </c>
      <c r="C226" s="8" t="s">
        <v>220</v>
      </c>
      <c r="D226" s="8" t="s">
        <v>221</v>
      </c>
      <c r="E226" s="8" t="s">
        <v>125</v>
      </c>
      <c r="F226" s="8" t="s">
        <v>957</v>
      </c>
      <c r="G226" s="8" t="s">
        <v>958</v>
      </c>
      <c r="H226" s="8" t="s">
        <v>959</v>
      </c>
      <c r="I226" s="8" t="s">
        <v>960</v>
      </c>
      <c r="J226" s="8" t="s">
        <v>139</v>
      </c>
      <c r="K226" s="8" t="s">
        <v>90</v>
      </c>
      <c r="L226" s="8" t="s">
        <v>121</v>
      </c>
      <c r="M226" s="8" t="s">
        <v>797</v>
      </c>
      <c r="N226" s="8" t="s">
        <v>65</v>
      </c>
      <c r="O226" s="8" t="s">
        <v>140</v>
      </c>
      <c r="P226" s="8" t="s">
        <v>141</v>
      </c>
      <c r="Q226" s="8" t="s">
        <v>68</v>
      </c>
      <c r="R226" s="9">
        <v>45591</v>
      </c>
      <c r="S226" s="9">
        <v>45596</v>
      </c>
      <c r="T226" s="8" t="str">
        <f t="shared" si="3"/>
        <v>Cerrado</v>
      </c>
      <c r="U226" s="10">
        <f>IF(S226="",Listas!$I$1-B226,S226-B226)</f>
        <v>5</v>
      </c>
    </row>
    <row r="227" spans="1:21" x14ac:dyDescent="0.3">
      <c r="A227" s="8" t="s">
        <v>961</v>
      </c>
      <c r="B227" s="9">
        <v>45589</v>
      </c>
      <c r="C227" s="8" t="s">
        <v>944</v>
      </c>
      <c r="D227" s="8" t="s">
        <v>945</v>
      </c>
      <c r="E227" s="8" t="s">
        <v>96</v>
      </c>
      <c r="F227" s="8" t="s">
        <v>962</v>
      </c>
      <c r="G227" s="8" t="s">
        <v>211</v>
      </c>
      <c r="H227" s="8" t="s">
        <v>212</v>
      </c>
      <c r="I227" s="8" t="s">
        <v>963</v>
      </c>
      <c r="J227" s="8" t="s">
        <v>101</v>
      </c>
      <c r="K227" s="8" t="s">
        <v>90</v>
      </c>
      <c r="L227" s="8" t="s">
        <v>121</v>
      </c>
      <c r="M227" s="8" t="s">
        <v>797</v>
      </c>
      <c r="N227" s="8" t="s">
        <v>65</v>
      </c>
      <c r="O227" s="8" t="s">
        <v>103</v>
      </c>
      <c r="P227" s="8" t="s">
        <v>104</v>
      </c>
      <c r="Q227" s="8" t="s">
        <v>68</v>
      </c>
      <c r="R227" s="9">
        <v>45589</v>
      </c>
      <c r="S227" s="9">
        <v>45594</v>
      </c>
      <c r="T227" s="8" t="str">
        <f t="shared" si="3"/>
        <v>Cerrado</v>
      </c>
      <c r="U227" s="10">
        <f>IF(S227="",Listas!$I$1-B227,S227-B227)</f>
        <v>5</v>
      </c>
    </row>
    <row r="228" spans="1:21" x14ac:dyDescent="0.3">
      <c r="A228" s="8" t="s">
        <v>964</v>
      </c>
      <c r="B228" s="9">
        <v>45590</v>
      </c>
      <c r="C228" s="8" t="s">
        <v>372</v>
      </c>
      <c r="D228" s="8" t="s">
        <v>373</v>
      </c>
      <c r="E228" s="8" t="s">
        <v>125</v>
      </c>
      <c r="F228" s="8" t="s">
        <v>965</v>
      </c>
      <c r="G228" s="8" t="s">
        <v>86</v>
      </c>
      <c r="H228" s="8" t="s">
        <v>87</v>
      </c>
      <c r="I228" s="8" t="s">
        <v>966</v>
      </c>
      <c r="J228" s="8" t="s">
        <v>147</v>
      </c>
      <c r="K228" s="8" t="s">
        <v>90</v>
      </c>
      <c r="L228" s="8" t="s">
        <v>78</v>
      </c>
      <c r="M228" s="8" t="s">
        <v>797</v>
      </c>
      <c r="N228" s="8" t="s">
        <v>65</v>
      </c>
      <c r="O228" s="8" t="s">
        <v>148</v>
      </c>
      <c r="P228" s="8" t="s">
        <v>149</v>
      </c>
      <c r="Q228" s="8" t="s">
        <v>150</v>
      </c>
      <c r="R228" s="9">
        <v>45590</v>
      </c>
      <c r="S228" s="9">
        <v>45596</v>
      </c>
      <c r="T228" s="8" t="str">
        <f t="shared" si="3"/>
        <v>Cerrado</v>
      </c>
      <c r="U228" s="10">
        <f>IF(S228="",Listas!$I$1-B228,S228-B228)</f>
        <v>6</v>
      </c>
    </row>
    <row r="229" spans="1:21" x14ac:dyDescent="0.3">
      <c r="A229" s="8" t="s">
        <v>967</v>
      </c>
      <c r="B229" s="9">
        <v>45590</v>
      </c>
      <c r="C229" s="8" t="s">
        <v>123</v>
      </c>
      <c r="D229" s="8" t="s">
        <v>124</v>
      </c>
      <c r="E229" s="8" t="s">
        <v>125</v>
      </c>
      <c r="F229" s="8" t="s">
        <v>968</v>
      </c>
      <c r="G229" s="8" t="s">
        <v>334</v>
      </c>
      <c r="H229" s="8" t="s">
        <v>335</v>
      </c>
      <c r="I229" s="8" t="s">
        <v>969</v>
      </c>
      <c r="J229" s="8" t="s">
        <v>101</v>
      </c>
      <c r="K229" s="8" t="s">
        <v>90</v>
      </c>
      <c r="L229" s="8" t="s">
        <v>78</v>
      </c>
      <c r="M229" s="8" t="s">
        <v>797</v>
      </c>
      <c r="N229" s="8" t="s">
        <v>65</v>
      </c>
      <c r="O229" s="8" t="s">
        <v>103</v>
      </c>
      <c r="P229" s="8" t="s">
        <v>104</v>
      </c>
      <c r="Q229" s="8" t="s">
        <v>68</v>
      </c>
      <c r="R229" s="9">
        <v>45590</v>
      </c>
      <c r="S229" s="9">
        <v>45599</v>
      </c>
      <c r="T229" s="8" t="str">
        <f t="shared" si="3"/>
        <v>Cerrado</v>
      </c>
      <c r="U229" s="10">
        <f>IF(S229="",Listas!$I$1-B229,S229-B229)</f>
        <v>9</v>
      </c>
    </row>
    <row r="230" spans="1:21" x14ac:dyDescent="0.3">
      <c r="A230" s="8" t="s">
        <v>970</v>
      </c>
      <c r="B230" s="9">
        <v>45601</v>
      </c>
      <c r="C230" s="8" t="s">
        <v>220</v>
      </c>
      <c r="D230" s="8" t="s">
        <v>221</v>
      </c>
      <c r="E230" s="8" t="s">
        <v>125</v>
      </c>
      <c r="F230" s="8" t="s">
        <v>971</v>
      </c>
      <c r="G230" s="8" t="s">
        <v>242</v>
      </c>
      <c r="H230" s="8" t="s">
        <v>243</v>
      </c>
      <c r="I230" s="8" t="s">
        <v>972</v>
      </c>
      <c r="J230" s="8" t="s">
        <v>178</v>
      </c>
      <c r="K230" s="8" t="s">
        <v>90</v>
      </c>
      <c r="L230" s="8" t="s">
        <v>102</v>
      </c>
      <c r="M230" s="8" t="s">
        <v>797</v>
      </c>
      <c r="N230" s="8" t="s">
        <v>65</v>
      </c>
      <c r="O230" s="8" t="s">
        <v>179</v>
      </c>
      <c r="P230" s="8" t="s">
        <v>180</v>
      </c>
      <c r="Q230" s="8" t="s">
        <v>150</v>
      </c>
      <c r="R230" s="9">
        <v>45601</v>
      </c>
      <c r="S230" s="9">
        <v>45607</v>
      </c>
      <c r="T230" s="8" t="str">
        <f t="shared" si="3"/>
        <v>Cerrado</v>
      </c>
      <c r="U230" s="10">
        <f>IF(S230="",Listas!$I$1-B230,S230-B230)</f>
        <v>6</v>
      </c>
    </row>
    <row r="231" spans="1:21" x14ac:dyDescent="0.3">
      <c r="A231" s="8" t="s">
        <v>973</v>
      </c>
      <c r="B231" s="9">
        <v>45604</v>
      </c>
      <c r="C231" s="8" t="s">
        <v>246</v>
      </c>
      <c r="D231" s="8" t="s">
        <v>247</v>
      </c>
      <c r="E231" s="8" t="s">
        <v>125</v>
      </c>
      <c r="F231" s="8" t="s">
        <v>974</v>
      </c>
      <c r="G231" s="8" t="s">
        <v>160</v>
      </c>
      <c r="H231" s="8" t="s">
        <v>161</v>
      </c>
      <c r="I231" s="8" t="s">
        <v>975</v>
      </c>
      <c r="J231" s="8" t="s">
        <v>89</v>
      </c>
      <c r="K231" s="8" t="s">
        <v>112</v>
      </c>
      <c r="L231" s="8" t="s">
        <v>121</v>
      </c>
      <c r="M231" s="8" t="s">
        <v>797</v>
      </c>
      <c r="N231" s="8" t="s">
        <v>65</v>
      </c>
      <c r="O231" s="8" t="s">
        <v>91</v>
      </c>
      <c r="P231" s="8" t="s">
        <v>92</v>
      </c>
      <c r="Q231" s="8" t="s">
        <v>81</v>
      </c>
      <c r="R231" s="9">
        <v>45605</v>
      </c>
      <c r="S231" s="9">
        <v>45609</v>
      </c>
      <c r="T231" s="8" t="str">
        <f t="shared" si="3"/>
        <v>Cerrado</v>
      </c>
      <c r="U231" s="10">
        <f>IF(S231="",Listas!$I$1-B231,S231-B231)</f>
        <v>5</v>
      </c>
    </row>
    <row r="232" spans="1:21" x14ac:dyDescent="0.3">
      <c r="A232" s="8" t="s">
        <v>976</v>
      </c>
      <c r="B232" s="9">
        <v>45606</v>
      </c>
      <c r="C232" s="8" t="s">
        <v>372</v>
      </c>
      <c r="D232" s="8" t="s">
        <v>373</v>
      </c>
      <c r="E232" s="8" t="s">
        <v>125</v>
      </c>
      <c r="F232" s="8" t="s">
        <v>977</v>
      </c>
      <c r="G232" s="8" t="s">
        <v>466</v>
      </c>
      <c r="H232" s="8" t="s">
        <v>467</v>
      </c>
      <c r="I232" s="8" t="s">
        <v>978</v>
      </c>
      <c r="J232" s="8" t="s">
        <v>147</v>
      </c>
      <c r="K232" s="8" t="s">
        <v>62</v>
      </c>
      <c r="L232" s="8" t="s">
        <v>102</v>
      </c>
      <c r="M232" s="8" t="s">
        <v>797</v>
      </c>
      <c r="N232" s="8" t="s">
        <v>65</v>
      </c>
      <c r="O232" s="8" t="s">
        <v>148</v>
      </c>
      <c r="P232" s="8" t="s">
        <v>149</v>
      </c>
      <c r="Q232" s="8" t="s">
        <v>150</v>
      </c>
      <c r="R232" s="9">
        <v>45607</v>
      </c>
      <c r="S232" s="9">
        <v>45610</v>
      </c>
      <c r="T232" s="8" t="str">
        <f t="shared" si="3"/>
        <v>Cerrado</v>
      </c>
      <c r="U232" s="10">
        <f>IF(S232="",Listas!$I$1-B232,S232-B232)</f>
        <v>4</v>
      </c>
    </row>
    <row r="233" spans="1:21" x14ac:dyDescent="0.3">
      <c r="A233" s="8" t="s">
        <v>979</v>
      </c>
      <c r="B233" s="9">
        <v>45619</v>
      </c>
      <c r="C233" s="8" t="s">
        <v>939</v>
      </c>
      <c r="D233" s="8" t="s">
        <v>940</v>
      </c>
      <c r="E233" s="8" t="s">
        <v>116</v>
      </c>
      <c r="F233" s="8" t="s">
        <v>980</v>
      </c>
      <c r="G233" s="8" t="s">
        <v>197</v>
      </c>
      <c r="H233" s="8" t="s">
        <v>198</v>
      </c>
      <c r="I233" s="8" t="s">
        <v>981</v>
      </c>
      <c r="J233" s="8" t="s">
        <v>101</v>
      </c>
      <c r="K233" s="8" t="s">
        <v>90</v>
      </c>
      <c r="L233" s="8" t="s">
        <v>63</v>
      </c>
      <c r="M233" s="8" t="s">
        <v>797</v>
      </c>
      <c r="N233" s="8" t="s">
        <v>65</v>
      </c>
      <c r="O233" s="8" t="s">
        <v>103</v>
      </c>
      <c r="P233" s="8" t="s">
        <v>104</v>
      </c>
      <c r="Q233" s="8" t="s">
        <v>68</v>
      </c>
      <c r="R233" s="9">
        <v>45620</v>
      </c>
      <c r="S233" s="9">
        <v>45629</v>
      </c>
      <c r="T233" s="8" t="str">
        <f t="shared" si="3"/>
        <v>Cerrado</v>
      </c>
      <c r="U233" s="10">
        <f>IF(S233="",Listas!$I$1-B233,S233-B233)</f>
        <v>10</v>
      </c>
    </row>
    <row r="234" spans="1:21" x14ac:dyDescent="0.3">
      <c r="A234" s="8" t="s">
        <v>982</v>
      </c>
      <c r="B234" s="9">
        <v>45622</v>
      </c>
      <c r="C234" s="8" t="s">
        <v>194</v>
      </c>
      <c r="D234" s="8" t="s">
        <v>195</v>
      </c>
      <c r="E234" s="8" t="s">
        <v>125</v>
      </c>
      <c r="F234" s="8" t="s">
        <v>983</v>
      </c>
      <c r="G234" s="8" t="s">
        <v>160</v>
      </c>
      <c r="H234" s="8" t="s">
        <v>161</v>
      </c>
      <c r="I234" s="8" t="s">
        <v>984</v>
      </c>
      <c r="J234" s="8" t="s">
        <v>139</v>
      </c>
      <c r="K234" s="8" t="s">
        <v>90</v>
      </c>
      <c r="L234" s="8" t="s">
        <v>121</v>
      </c>
      <c r="M234" s="8" t="s">
        <v>797</v>
      </c>
      <c r="N234" s="8" t="s">
        <v>65</v>
      </c>
      <c r="O234" s="8" t="s">
        <v>140</v>
      </c>
      <c r="P234" s="8" t="s">
        <v>141</v>
      </c>
      <c r="Q234" s="8" t="s">
        <v>68</v>
      </c>
      <c r="R234" s="9">
        <v>45623</v>
      </c>
      <c r="S234" s="9">
        <v>45624</v>
      </c>
      <c r="T234" s="8" t="str">
        <f t="shared" si="3"/>
        <v>Cerrado</v>
      </c>
      <c r="U234" s="10">
        <f>IF(S234="",Listas!$I$1-B234,S234-B234)</f>
        <v>2</v>
      </c>
    </row>
    <row r="235" spans="1:21" x14ac:dyDescent="0.3">
      <c r="A235" s="8" t="s">
        <v>985</v>
      </c>
      <c r="B235" s="9">
        <v>45618</v>
      </c>
      <c r="C235" s="8" t="s">
        <v>779</v>
      </c>
      <c r="D235" s="8" t="s">
        <v>780</v>
      </c>
      <c r="E235" s="8" t="s">
        <v>116</v>
      </c>
      <c r="F235" s="8" t="s">
        <v>986</v>
      </c>
      <c r="G235" s="8" t="s">
        <v>160</v>
      </c>
      <c r="H235" s="8" t="s">
        <v>161</v>
      </c>
      <c r="I235" s="8" t="s">
        <v>987</v>
      </c>
      <c r="J235" s="8" t="s">
        <v>89</v>
      </c>
      <c r="K235" s="8" t="s">
        <v>62</v>
      </c>
      <c r="L235" s="8" t="s">
        <v>121</v>
      </c>
      <c r="M235" s="8" t="s">
        <v>797</v>
      </c>
      <c r="N235" s="8" t="s">
        <v>65</v>
      </c>
      <c r="O235" s="8" t="s">
        <v>91</v>
      </c>
      <c r="P235" s="8" t="s">
        <v>92</v>
      </c>
      <c r="Q235" s="8" t="s">
        <v>81</v>
      </c>
      <c r="R235" s="9">
        <v>45619</v>
      </c>
      <c r="S235" s="9">
        <v>45627</v>
      </c>
      <c r="T235" s="8" t="str">
        <f t="shared" si="3"/>
        <v>Cerrado</v>
      </c>
      <c r="U235" s="10">
        <f>IF(S235="",Listas!$I$1-B235,S235-B235)</f>
        <v>9</v>
      </c>
    </row>
    <row r="236" spans="1:21" x14ac:dyDescent="0.3">
      <c r="A236" s="8" t="s">
        <v>988</v>
      </c>
      <c r="B236" s="9">
        <v>45624</v>
      </c>
      <c r="C236" s="8" t="s">
        <v>323</v>
      </c>
      <c r="D236" s="8" t="s">
        <v>324</v>
      </c>
      <c r="E236" s="8" t="s">
        <v>125</v>
      </c>
      <c r="F236" s="8" t="s">
        <v>989</v>
      </c>
      <c r="G236" s="8" t="s">
        <v>204</v>
      </c>
      <c r="H236" s="8" t="s">
        <v>205</v>
      </c>
      <c r="I236" s="8" t="s">
        <v>990</v>
      </c>
      <c r="J236" s="8" t="s">
        <v>61</v>
      </c>
      <c r="K236" s="8" t="s">
        <v>62</v>
      </c>
      <c r="L236" s="8" t="s">
        <v>121</v>
      </c>
      <c r="M236" s="8" t="s">
        <v>797</v>
      </c>
      <c r="N236" s="8" t="s">
        <v>65</v>
      </c>
      <c r="O236" s="8" t="s">
        <v>66</v>
      </c>
      <c r="P236" s="8" t="s">
        <v>67</v>
      </c>
      <c r="Q236" s="8" t="s">
        <v>68</v>
      </c>
      <c r="R236" s="9">
        <v>45624</v>
      </c>
      <c r="S236" s="9">
        <v>45626</v>
      </c>
      <c r="T236" s="8" t="str">
        <f t="shared" si="3"/>
        <v>Cerrado</v>
      </c>
      <c r="U236" s="10">
        <f>IF(S236="",Listas!$I$1-B236,S236-B236)</f>
        <v>2</v>
      </c>
    </row>
    <row r="237" spans="1:21" x14ac:dyDescent="0.3">
      <c r="A237" s="8" t="s">
        <v>991</v>
      </c>
      <c r="B237" s="9">
        <v>45624</v>
      </c>
      <c r="C237" s="8" t="s">
        <v>820</v>
      </c>
      <c r="D237" s="8" t="s">
        <v>821</v>
      </c>
      <c r="E237" s="8" t="s">
        <v>72</v>
      </c>
      <c r="F237" s="8" t="s">
        <v>992</v>
      </c>
      <c r="G237" s="8" t="s">
        <v>98</v>
      </c>
      <c r="H237" s="8" t="s">
        <v>99</v>
      </c>
      <c r="I237" s="8" t="s">
        <v>993</v>
      </c>
      <c r="J237" s="8" t="s">
        <v>61</v>
      </c>
      <c r="K237" s="8" t="s">
        <v>90</v>
      </c>
      <c r="L237" s="8" t="s">
        <v>78</v>
      </c>
      <c r="M237" s="8" t="s">
        <v>797</v>
      </c>
      <c r="N237" s="8" t="s">
        <v>65</v>
      </c>
      <c r="O237" s="8" t="s">
        <v>66</v>
      </c>
      <c r="P237" s="8" t="s">
        <v>67</v>
      </c>
      <c r="Q237" s="8" t="s">
        <v>68</v>
      </c>
      <c r="R237" s="9">
        <v>45624</v>
      </c>
      <c r="S237" s="9">
        <v>45629</v>
      </c>
      <c r="T237" s="8" t="str">
        <f t="shared" si="3"/>
        <v>Cerrado</v>
      </c>
      <c r="U237" s="10">
        <f>IF(S237="",Listas!$I$1-B237,S237-B237)</f>
        <v>5</v>
      </c>
    </row>
    <row r="238" spans="1:21" x14ac:dyDescent="0.3">
      <c r="A238" s="8" t="s">
        <v>994</v>
      </c>
      <c r="B238" s="9">
        <v>45624</v>
      </c>
      <c r="C238" s="8" t="s">
        <v>944</v>
      </c>
      <c r="D238" s="8" t="s">
        <v>945</v>
      </c>
      <c r="E238" s="8" t="s">
        <v>96</v>
      </c>
      <c r="F238" s="8" t="s">
        <v>995</v>
      </c>
      <c r="G238" s="8" t="s">
        <v>308</v>
      </c>
      <c r="H238" s="8" t="s">
        <v>309</v>
      </c>
      <c r="I238" s="8" t="s">
        <v>996</v>
      </c>
      <c r="J238" s="8" t="s">
        <v>77</v>
      </c>
      <c r="K238" s="8" t="s">
        <v>90</v>
      </c>
      <c r="L238" s="8" t="s">
        <v>121</v>
      </c>
      <c r="M238" s="8" t="s">
        <v>797</v>
      </c>
      <c r="N238" s="8" t="s">
        <v>65</v>
      </c>
      <c r="O238" s="8" t="s">
        <v>79</v>
      </c>
      <c r="P238" s="8" t="s">
        <v>80</v>
      </c>
      <c r="Q238" s="8" t="s">
        <v>81</v>
      </c>
      <c r="R238" s="9">
        <v>45625</v>
      </c>
      <c r="S238" s="9">
        <v>45633</v>
      </c>
      <c r="T238" s="8" t="str">
        <f t="shared" si="3"/>
        <v>Cerrado</v>
      </c>
      <c r="U238" s="10">
        <f>IF(S238="",Listas!$I$1-B238,S238-B238)</f>
        <v>9</v>
      </c>
    </row>
    <row r="239" spans="1:21" x14ac:dyDescent="0.3">
      <c r="A239" s="8" t="s">
        <v>997</v>
      </c>
      <c r="B239" s="9">
        <v>45629</v>
      </c>
      <c r="C239" s="8" t="s">
        <v>998</v>
      </c>
      <c r="D239" s="8" t="s">
        <v>999</v>
      </c>
      <c r="E239" s="8" t="s">
        <v>116</v>
      </c>
      <c r="F239" s="8" t="s">
        <v>1000</v>
      </c>
      <c r="G239" s="8" t="s">
        <v>86</v>
      </c>
      <c r="H239" s="8" t="s">
        <v>87</v>
      </c>
      <c r="I239" s="8" t="s">
        <v>1001</v>
      </c>
      <c r="J239" s="8" t="s">
        <v>61</v>
      </c>
      <c r="K239" s="8" t="s">
        <v>90</v>
      </c>
      <c r="L239" s="8" t="s">
        <v>63</v>
      </c>
      <c r="M239" s="8" t="s">
        <v>797</v>
      </c>
      <c r="N239" s="8" t="s">
        <v>65</v>
      </c>
      <c r="O239" s="8" t="s">
        <v>66</v>
      </c>
      <c r="P239" s="8" t="s">
        <v>67</v>
      </c>
      <c r="Q239" s="8" t="s">
        <v>68</v>
      </c>
      <c r="R239" s="9">
        <v>45629</v>
      </c>
      <c r="S239" s="9">
        <v>45635</v>
      </c>
      <c r="T239" s="8" t="str">
        <f t="shared" si="3"/>
        <v>Cerrado</v>
      </c>
      <c r="U239" s="10">
        <f>IF(S239="",Listas!$I$1-B239,S239-B239)</f>
        <v>6</v>
      </c>
    </row>
    <row r="240" spans="1:21" x14ac:dyDescent="0.3">
      <c r="A240" s="8" t="s">
        <v>1002</v>
      </c>
      <c r="B240" s="9">
        <v>45632</v>
      </c>
      <c r="C240" s="8" t="s">
        <v>251</v>
      </c>
      <c r="D240" s="8" t="s">
        <v>252</v>
      </c>
      <c r="E240" s="8" t="s">
        <v>56</v>
      </c>
      <c r="F240" s="8" t="s">
        <v>1003</v>
      </c>
      <c r="G240" s="8" t="s">
        <v>127</v>
      </c>
      <c r="H240" s="8" t="s">
        <v>128</v>
      </c>
      <c r="I240" s="8" t="s">
        <v>1004</v>
      </c>
      <c r="J240" s="8" t="s">
        <v>147</v>
      </c>
      <c r="K240" s="8" t="s">
        <v>62</v>
      </c>
      <c r="L240" s="8" t="s">
        <v>102</v>
      </c>
      <c r="M240" s="8" t="s">
        <v>797</v>
      </c>
      <c r="N240" s="8" t="s">
        <v>65</v>
      </c>
      <c r="O240" s="8" t="s">
        <v>148</v>
      </c>
      <c r="P240" s="8" t="s">
        <v>149</v>
      </c>
      <c r="Q240" s="8" t="s">
        <v>150</v>
      </c>
      <c r="R240" s="9">
        <v>45633</v>
      </c>
      <c r="S240" s="9">
        <v>45636</v>
      </c>
      <c r="T240" s="8" t="str">
        <f t="shared" si="3"/>
        <v>Cerrado</v>
      </c>
      <c r="U240" s="10">
        <f>IF(S240="",Listas!$I$1-B240,S240-B240)</f>
        <v>4</v>
      </c>
    </row>
    <row r="241" spans="1:21" x14ac:dyDescent="0.3">
      <c r="A241" s="8" t="s">
        <v>1005</v>
      </c>
      <c r="B241" s="9">
        <v>45633</v>
      </c>
      <c r="C241" s="8" t="s">
        <v>470</v>
      </c>
      <c r="D241" s="8" t="s">
        <v>471</v>
      </c>
      <c r="E241" s="8" t="s">
        <v>125</v>
      </c>
      <c r="F241" s="8" t="s">
        <v>1006</v>
      </c>
      <c r="G241" s="8" t="s">
        <v>86</v>
      </c>
      <c r="H241" s="8" t="s">
        <v>87</v>
      </c>
      <c r="I241" s="8" t="s">
        <v>1007</v>
      </c>
      <c r="J241" s="8" t="s">
        <v>178</v>
      </c>
      <c r="K241" s="8" t="s">
        <v>90</v>
      </c>
      <c r="L241" s="8" t="s">
        <v>78</v>
      </c>
      <c r="M241" s="8" t="s">
        <v>797</v>
      </c>
      <c r="N241" s="8" t="s">
        <v>65</v>
      </c>
      <c r="O241" s="8" t="s">
        <v>179</v>
      </c>
      <c r="P241" s="8" t="s">
        <v>180</v>
      </c>
      <c r="Q241" s="8" t="s">
        <v>150</v>
      </c>
      <c r="R241" s="9">
        <v>45633</v>
      </c>
      <c r="S241" s="9">
        <v>45634</v>
      </c>
      <c r="T241" s="8" t="str">
        <f t="shared" si="3"/>
        <v>Cerrado</v>
      </c>
      <c r="U241" s="10">
        <f>IF(S241="",Listas!$I$1-B241,S241-B241)</f>
        <v>1</v>
      </c>
    </row>
    <row r="242" spans="1:21" x14ac:dyDescent="0.3">
      <c r="A242" s="8" t="s">
        <v>1008</v>
      </c>
      <c r="B242" s="9">
        <v>45637</v>
      </c>
      <c r="C242" s="8" t="s">
        <v>246</v>
      </c>
      <c r="D242" s="8" t="s">
        <v>247</v>
      </c>
      <c r="E242" s="8" t="s">
        <v>125</v>
      </c>
      <c r="F242" s="8" t="s">
        <v>1009</v>
      </c>
      <c r="G242" s="8" t="s">
        <v>118</v>
      </c>
      <c r="H242" s="8" t="s">
        <v>119</v>
      </c>
      <c r="I242" s="8" t="s">
        <v>1010</v>
      </c>
      <c r="J242" s="8" t="s">
        <v>178</v>
      </c>
      <c r="K242" s="8" t="s">
        <v>112</v>
      </c>
      <c r="L242" s="8" t="s">
        <v>63</v>
      </c>
      <c r="M242" s="8" t="s">
        <v>797</v>
      </c>
      <c r="N242" s="8" t="s">
        <v>65</v>
      </c>
      <c r="O242" s="8" t="s">
        <v>179</v>
      </c>
      <c r="P242" s="8" t="s">
        <v>180</v>
      </c>
      <c r="Q242" s="8" t="s">
        <v>150</v>
      </c>
      <c r="R242" s="9">
        <v>45638</v>
      </c>
      <c r="S242" s="9">
        <v>45644</v>
      </c>
      <c r="T242" s="8" t="str">
        <f t="shared" si="3"/>
        <v>Cerrado</v>
      </c>
      <c r="U242" s="10">
        <f>IF(S242="",Listas!$I$1-B242,S242-B242)</f>
        <v>7</v>
      </c>
    </row>
    <row r="243" spans="1:21" x14ac:dyDescent="0.3">
      <c r="A243" s="8" t="s">
        <v>1011</v>
      </c>
      <c r="B243" s="9">
        <v>45633</v>
      </c>
      <c r="C243" s="8" t="s">
        <v>470</v>
      </c>
      <c r="D243" s="8" t="s">
        <v>471</v>
      </c>
      <c r="E243" s="8" t="s">
        <v>125</v>
      </c>
      <c r="F243" s="8" t="s">
        <v>1012</v>
      </c>
      <c r="G243" s="8" t="s">
        <v>197</v>
      </c>
      <c r="H243" s="8" t="s">
        <v>198</v>
      </c>
      <c r="I243" s="8" t="s">
        <v>1013</v>
      </c>
      <c r="J243" s="8" t="s">
        <v>101</v>
      </c>
      <c r="K243" s="8" t="s">
        <v>62</v>
      </c>
      <c r="L243" s="8" t="s">
        <v>102</v>
      </c>
      <c r="M243" s="8" t="s">
        <v>797</v>
      </c>
      <c r="N243" s="8" t="s">
        <v>65</v>
      </c>
      <c r="O243" s="8" t="s">
        <v>103</v>
      </c>
      <c r="P243" s="8" t="s">
        <v>104</v>
      </c>
      <c r="Q243" s="8" t="s">
        <v>68</v>
      </c>
      <c r="R243" s="9">
        <v>45634</v>
      </c>
      <c r="S243" s="9">
        <v>45637</v>
      </c>
      <c r="T243" s="8" t="str">
        <f t="shared" si="3"/>
        <v>Cerrado</v>
      </c>
      <c r="U243" s="10">
        <f>IF(S243="",Listas!$I$1-B243,S243-B243)</f>
        <v>4</v>
      </c>
    </row>
    <row r="244" spans="1:21" x14ac:dyDescent="0.3">
      <c r="A244" s="8" t="s">
        <v>1014</v>
      </c>
      <c r="B244" s="9">
        <v>45639</v>
      </c>
      <c r="C244" s="8" t="s">
        <v>227</v>
      </c>
      <c r="D244" s="8" t="s">
        <v>228</v>
      </c>
      <c r="E244" s="8" t="s">
        <v>72</v>
      </c>
      <c r="F244" s="8" t="s">
        <v>1015</v>
      </c>
      <c r="G244" s="8" t="s">
        <v>175</v>
      </c>
      <c r="H244" s="8" t="s">
        <v>176</v>
      </c>
      <c r="I244" s="8" t="s">
        <v>1016</v>
      </c>
      <c r="J244" s="8" t="s">
        <v>139</v>
      </c>
      <c r="K244" s="8" t="s">
        <v>90</v>
      </c>
      <c r="L244" s="8" t="s">
        <v>78</v>
      </c>
      <c r="M244" s="8" t="s">
        <v>797</v>
      </c>
      <c r="N244" s="8" t="s">
        <v>65</v>
      </c>
      <c r="O244" s="8" t="s">
        <v>140</v>
      </c>
      <c r="P244" s="8" t="s">
        <v>141</v>
      </c>
      <c r="Q244" s="8" t="s">
        <v>68</v>
      </c>
      <c r="R244" s="9">
        <v>45639</v>
      </c>
      <c r="S244" s="9">
        <v>45650</v>
      </c>
      <c r="T244" s="8" t="str">
        <f t="shared" si="3"/>
        <v>Cerrado</v>
      </c>
      <c r="U244" s="10">
        <f>IF(S244="",Listas!$I$1-B244,S244-B244)</f>
        <v>11</v>
      </c>
    </row>
    <row r="245" spans="1:21" x14ac:dyDescent="0.3">
      <c r="A245" s="8" t="s">
        <v>1017</v>
      </c>
      <c r="B245" s="9">
        <v>45643</v>
      </c>
      <c r="C245" s="8" t="s">
        <v>348</v>
      </c>
      <c r="D245" s="8" t="s">
        <v>349</v>
      </c>
      <c r="E245" s="8" t="s">
        <v>125</v>
      </c>
      <c r="F245" s="8" t="s">
        <v>1018</v>
      </c>
      <c r="G245" s="8" t="s">
        <v>242</v>
      </c>
      <c r="H245" s="8" t="s">
        <v>243</v>
      </c>
      <c r="I245" s="8" t="s">
        <v>1019</v>
      </c>
      <c r="J245" s="8" t="s">
        <v>147</v>
      </c>
      <c r="K245" s="8" t="s">
        <v>112</v>
      </c>
      <c r="L245" s="8" t="s">
        <v>78</v>
      </c>
      <c r="M245" s="8" t="s">
        <v>797</v>
      </c>
      <c r="N245" s="8" t="s">
        <v>65</v>
      </c>
      <c r="O245" s="8" t="s">
        <v>148</v>
      </c>
      <c r="P245" s="8" t="s">
        <v>149</v>
      </c>
      <c r="Q245" s="8" t="s">
        <v>150</v>
      </c>
      <c r="R245" s="9">
        <v>45644</v>
      </c>
      <c r="S245" s="9">
        <v>45649</v>
      </c>
      <c r="T245" s="8" t="str">
        <f t="shared" si="3"/>
        <v>Cerrado</v>
      </c>
      <c r="U245" s="10">
        <f>IF(S245="",Listas!$I$1-B245,S245-B245)</f>
        <v>6</v>
      </c>
    </row>
    <row r="246" spans="1:21" x14ac:dyDescent="0.3">
      <c r="A246" s="8" t="s">
        <v>1020</v>
      </c>
      <c r="B246" s="9">
        <v>45655</v>
      </c>
      <c r="C246" s="8" t="s">
        <v>348</v>
      </c>
      <c r="D246" s="8" t="s">
        <v>349</v>
      </c>
      <c r="E246" s="8" t="s">
        <v>125</v>
      </c>
      <c r="F246" s="8" t="s">
        <v>1021</v>
      </c>
      <c r="G246" s="8" t="s">
        <v>160</v>
      </c>
      <c r="H246" s="8" t="s">
        <v>161</v>
      </c>
      <c r="I246" s="8" t="s">
        <v>1022</v>
      </c>
      <c r="J246" s="8" t="s">
        <v>61</v>
      </c>
      <c r="K246" s="8" t="s">
        <v>112</v>
      </c>
      <c r="L246" s="8" t="s">
        <v>102</v>
      </c>
      <c r="M246" s="8" t="s">
        <v>797</v>
      </c>
      <c r="N246" s="8" t="s">
        <v>65</v>
      </c>
      <c r="O246" s="8" t="s">
        <v>66</v>
      </c>
      <c r="P246" s="8" t="s">
        <v>67</v>
      </c>
      <c r="Q246" s="8" t="s">
        <v>68</v>
      </c>
      <c r="R246" s="9">
        <v>45656</v>
      </c>
      <c r="S246" s="9"/>
      <c r="T246" s="8" t="str">
        <f t="shared" si="3"/>
        <v>En proceso</v>
      </c>
      <c r="U246" s="10">
        <f>IF(S246="",Listas!$I$1-B246,S246-B246)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6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30" customWidth="1"/>
    <col min="3" max="3" width="46" customWidth="1"/>
    <col min="4" max="4" width="44" customWidth="1"/>
  </cols>
  <sheetData>
    <row r="2" spans="2:4" ht="17.399999999999999" x14ac:dyDescent="0.3">
      <c r="B2" s="11" t="s">
        <v>1023</v>
      </c>
    </row>
    <row r="3" spans="2:4" x14ac:dyDescent="0.3">
      <c r="B3" s="12" t="s">
        <v>1024</v>
      </c>
    </row>
    <row r="5" spans="2:4" x14ac:dyDescent="0.3">
      <c r="B5" s="13" t="s">
        <v>1025</v>
      </c>
      <c r="C5" s="14"/>
      <c r="D5" s="15" t="s">
        <v>1026</v>
      </c>
    </row>
    <row r="6" spans="2:4" x14ac:dyDescent="0.3">
      <c r="B6" s="13" t="s">
        <v>1027</v>
      </c>
      <c r="C6" s="16"/>
      <c r="D6" s="15" t="s">
        <v>1028</v>
      </c>
    </row>
    <row r="7" spans="2:4" x14ac:dyDescent="0.3">
      <c r="B7" s="13" t="s">
        <v>1029</v>
      </c>
      <c r="C7" s="16"/>
      <c r="D7" s="15" t="s">
        <v>1028</v>
      </c>
    </row>
    <row r="8" spans="2:4" x14ac:dyDescent="0.3">
      <c r="B8" s="13" t="s">
        <v>1030</v>
      </c>
      <c r="C8" s="16"/>
      <c r="D8" s="15" t="s">
        <v>1031</v>
      </c>
    </row>
    <row r="9" spans="2:4" x14ac:dyDescent="0.3">
      <c r="B9" s="13" t="s">
        <v>1032</v>
      </c>
      <c r="C9" s="16"/>
      <c r="D9" s="15" t="s">
        <v>1028</v>
      </c>
    </row>
    <row r="10" spans="2:4" x14ac:dyDescent="0.3">
      <c r="B10" s="13" t="s">
        <v>1033</v>
      </c>
      <c r="C10" s="16"/>
      <c r="D10" s="15" t="s">
        <v>1028</v>
      </c>
    </row>
    <row r="11" spans="2:4" x14ac:dyDescent="0.3">
      <c r="B11" s="13" t="s">
        <v>1034</v>
      </c>
      <c r="C11" s="16"/>
      <c r="D11" s="15" t="s">
        <v>1028</v>
      </c>
    </row>
    <row r="12" spans="2:4" x14ac:dyDescent="0.3">
      <c r="B12" s="13" t="s">
        <v>1035</v>
      </c>
      <c r="C12" s="16"/>
      <c r="D12" s="15" t="s">
        <v>1036</v>
      </c>
    </row>
    <row r="13" spans="2:4" x14ac:dyDescent="0.3">
      <c r="B13" s="13" t="s">
        <v>1037</v>
      </c>
      <c r="C13" s="16"/>
      <c r="D13" s="15" t="s">
        <v>1028</v>
      </c>
    </row>
    <row r="14" spans="2:4" x14ac:dyDescent="0.3">
      <c r="B14" s="13" t="s">
        <v>5</v>
      </c>
      <c r="C14" s="16"/>
      <c r="D14" s="15" t="s">
        <v>1038</v>
      </c>
    </row>
    <row r="16" spans="2:4" x14ac:dyDescent="0.3">
      <c r="B16" s="13" t="s">
        <v>1039</v>
      </c>
      <c r="C16" s="17" t="str">
        <f>IF(COUNTBLANK(C5:C13)=0,"✔ Listo para registrar","Faltan "&amp;COUNTBLANK(C5:C13)&amp;" campos obligatorios")</f>
        <v>Faltan 9 campos obligatorios</v>
      </c>
    </row>
  </sheetData>
  <dataValidations count="2">
    <dataValidation type="date" showErrorMessage="1" error="Ingrese una fecha válida" sqref="C5" xr:uid="{00000000-0002-0000-0200-000000000000}">
      <formula1>DATE(2023,1,1)</formula1>
      <formula2>DATE(2025,12,31)</formula2>
    </dataValidation>
    <dataValidation type="whole" operator="greaterThan" showErrorMessage="1" error="Debe ser un número entero mayor a 0" sqref="C12" xr:uid="{00000000-0002-0000-0200-000006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cione un valor de la lista" xr:uid="{00000000-0002-0000-0200-000001000000}">
          <x14:formula1>
            <xm:f>Listas!$E$2:$E$91</xm:f>
          </x14:formula1>
          <xm:sqref>C6</xm:sqref>
        </x14:dataValidation>
        <x14:dataValidation type="list" showErrorMessage="1" error="Seleccione un valor de la lista" xr:uid="{00000000-0002-0000-0200-000002000000}">
          <x14:formula1>
            <xm:f>Listas!$F$2:$F$31</xm:f>
          </x14:formula1>
          <xm:sqref>C7</xm:sqref>
        </x14:dataValidation>
        <x14:dataValidation type="list" showErrorMessage="1" error="Seleccione un valor de la lista" xr:uid="{00000000-0002-0000-0200-000003000000}">
          <x14:formula1>
            <xm:f>Listas!$A$2:$A$8</xm:f>
          </x14:formula1>
          <xm:sqref>C9</xm:sqref>
        </x14:dataValidation>
        <x14:dataValidation type="list" showErrorMessage="1" error="Seleccione un valor de la lista" xr:uid="{00000000-0002-0000-0200-000004000000}">
          <x14:formula1>
            <xm:f>Listas!$B$2:$B$5</xm:f>
          </x14:formula1>
          <xm:sqref>C10</xm:sqref>
        </x14:dataValidation>
        <x14:dataValidation type="list" showErrorMessage="1" error="Seleccione un valor de la lista" xr:uid="{00000000-0002-0000-0200-000005000000}">
          <x14:formula1>
            <xm:f>Listas!$C$2:$C$5</xm:f>
          </x14:formula1>
          <xm:sqref>C11</xm:sqref>
        </x14:dataValidation>
        <x14:dataValidation type="list" showErrorMessage="1" error="Seleccione un valor de la lista" xr:uid="{00000000-0002-0000-0200-000007000000}">
          <x14:formula1>
            <xm:f>Listas!$D$2:$D$5</xm:f>
          </x14:formula1>
          <xm:sqref>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1"/>
  <sheetViews>
    <sheetView workbookViewId="0"/>
  </sheetViews>
  <sheetFormatPr baseColWidth="10" defaultColWidth="8.88671875" defaultRowHeight="14.4" x14ac:dyDescent="0.3"/>
  <cols>
    <col min="1" max="6" width="30" customWidth="1"/>
  </cols>
  <sheetData>
    <row r="1" spans="1:9" x14ac:dyDescent="0.3">
      <c r="A1" s="4" t="s">
        <v>33</v>
      </c>
      <c r="B1" s="4" t="s">
        <v>34</v>
      </c>
      <c r="C1" s="4" t="s">
        <v>35</v>
      </c>
      <c r="D1" s="4" t="s">
        <v>43</v>
      </c>
      <c r="E1" s="4" t="s">
        <v>25</v>
      </c>
      <c r="F1" s="4" t="s">
        <v>30</v>
      </c>
      <c r="H1" s="4" t="s">
        <v>1040</v>
      </c>
      <c r="I1" s="18">
        <v>45657</v>
      </c>
    </row>
    <row r="2" spans="1:9" x14ac:dyDescent="0.3">
      <c r="A2" s="8" t="s">
        <v>101</v>
      </c>
      <c r="B2" s="8" t="s">
        <v>62</v>
      </c>
      <c r="C2" s="8" t="s">
        <v>102</v>
      </c>
      <c r="D2" s="8" t="s">
        <v>68</v>
      </c>
      <c r="E2" s="8" t="s">
        <v>410</v>
      </c>
      <c r="F2" s="8" t="s">
        <v>224</v>
      </c>
    </row>
    <row r="3" spans="1:9" x14ac:dyDescent="0.3">
      <c r="A3" s="8" t="s">
        <v>147</v>
      </c>
      <c r="B3" s="8" t="s">
        <v>90</v>
      </c>
      <c r="C3" s="8" t="s">
        <v>63</v>
      </c>
      <c r="D3" s="8" t="s">
        <v>81</v>
      </c>
      <c r="E3" s="8" t="s">
        <v>516</v>
      </c>
      <c r="F3" s="8" t="s">
        <v>198</v>
      </c>
    </row>
    <row r="4" spans="1:9" x14ac:dyDescent="0.3">
      <c r="A4" s="8" t="s">
        <v>139</v>
      </c>
      <c r="B4" s="8" t="s">
        <v>112</v>
      </c>
      <c r="C4" s="8" t="s">
        <v>121</v>
      </c>
      <c r="D4" s="8" t="s">
        <v>150</v>
      </c>
      <c r="E4" s="8" t="s">
        <v>133</v>
      </c>
      <c r="F4" s="8" t="s">
        <v>128</v>
      </c>
    </row>
    <row r="5" spans="1:9" x14ac:dyDescent="0.3">
      <c r="A5" s="8" t="s">
        <v>89</v>
      </c>
      <c r="B5" s="8" t="s">
        <v>130</v>
      </c>
      <c r="C5" s="8" t="s">
        <v>78</v>
      </c>
      <c r="D5" s="8" t="s">
        <v>1041</v>
      </c>
      <c r="E5" s="8" t="s">
        <v>247</v>
      </c>
      <c r="F5" s="8" t="s">
        <v>75</v>
      </c>
    </row>
    <row r="6" spans="1:9" x14ac:dyDescent="0.3">
      <c r="A6" s="8" t="s">
        <v>61</v>
      </c>
      <c r="E6" s="8" t="s">
        <v>324</v>
      </c>
      <c r="F6" s="8" t="s">
        <v>309</v>
      </c>
    </row>
    <row r="7" spans="1:9" x14ac:dyDescent="0.3">
      <c r="A7" s="8" t="s">
        <v>178</v>
      </c>
      <c r="E7" s="8" t="s">
        <v>1042</v>
      </c>
      <c r="F7" s="8" t="s">
        <v>460</v>
      </c>
    </row>
    <row r="8" spans="1:9" x14ac:dyDescent="0.3">
      <c r="A8" s="8" t="s">
        <v>77</v>
      </c>
      <c r="E8" s="8" t="s">
        <v>221</v>
      </c>
      <c r="F8" s="8" t="s">
        <v>212</v>
      </c>
    </row>
    <row r="9" spans="1:9" x14ac:dyDescent="0.3">
      <c r="E9" s="8" t="s">
        <v>373</v>
      </c>
      <c r="F9" s="8" t="s">
        <v>419</v>
      </c>
    </row>
    <row r="10" spans="1:9" x14ac:dyDescent="0.3">
      <c r="E10" s="8" t="s">
        <v>349</v>
      </c>
      <c r="F10" s="8" t="s">
        <v>168</v>
      </c>
    </row>
    <row r="11" spans="1:9" x14ac:dyDescent="0.3">
      <c r="E11" s="8" t="s">
        <v>195</v>
      </c>
      <c r="F11" s="8" t="s">
        <v>205</v>
      </c>
    </row>
    <row r="12" spans="1:9" x14ac:dyDescent="0.3">
      <c r="E12" s="8" t="s">
        <v>124</v>
      </c>
      <c r="F12" s="8" t="s">
        <v>369</v>
      </c>
    </row>
    <row r="13" spans="1:9" x14ac:dyDescent="0.3">
      <c r="E13" s="8" t="s">
        <v>342</v>
      </c>
      <c r="F13" s="8" t="s">
        <v>285</v>
      </c>
    </row>
    <row r="14" spans="1:9" x14ac:dyDescent="0.3">
      <c r="E14" s="8" t="s">
        <v>153</v>
      </c>
      <c r="F14" s="8" t="s">
        <v>59</v>
      </c>
    </row>
    <row r="15" spans="1:9" x14ac:dyDescent="0.3">
      <c r="E15" s="8" t="s">
        <v>471</v>
      </c>
      <c r="F15" s="8" t="s">
        <v>243</v>
      </c>
    </row>
    <row r="16" spans="1:9" x14ac:dyDescent="0.3">
      <c r="E16" s="8" t="s">
        <v>252</v>
      </c>
      <c r="F16" s="8" t="s">
        <v>87</v>
      </c>
    </row>
    <row r="17" spans="5:6" x14ac:dyDescent="0.3">
      <c r="E17" s="8" t="s">
        <v>359</v>
      </c>
      <c r="F17" s="8" t="s">
        <v>186</v>
      </c>
    </row>
    <row r="18" spans="5:6" x14ac:dyDescent="0.3">
      <c r="E18" s="8" t="s">
        <v>354</v>
      </c>
      <c r="F18" s="8" t="s">
        <v>1043</v>
      </c>
    </row>
    <row r="19" spans="5:6" x14ac:dyDescent="0.3">
      <c r="E19" s="8" t="s">
        <v>262</v>
      </c>
      <c r="F19" s="8" t="s">
        <v>119</v>
      </c>
    </row>
    <row r="20" spans="5:6" x14ac:dyDescent="0.3">
      <c r="E20" s="8" t="s">
        <v>55</v>
      </c>
      <c r="F20" s="8" t="s">
        <v>467</v>
      </c>
    </row>
    <row r="21" spans="5:6" x14ac:dyDescent="0.3">
      <c r="E21" s="8" t="s">
        <v>282</v>
      </c>
      <c r="F21" s="8" t="s">
        <v>161</v>
      </c>
    </row>
    <row r="22" spans="5:6" x14ac:dyDescent="0.3">
      <c r="E22" s="8" t="s">
        <v>71</v>
      </c>
      <c r="F22" s="8" t="s">
        <v>231</v>
      </c>
    </row>
    <row r="23" spans="5:6" x14ac:dyDescent="0.3">
      <c r="E23" s="8" t="s">
        <v>303</v>
      </c>
      <c r="F23" s="8" t="s">
        <v>1044</v>
      </c>
    </row>
    <row r="24" spans="5:6" x14ac:dyDescent="0.3">
      <c r="E24" s="8" t="s">
        <v>400</v>
      </c>
      <c r="F24" s="8" t="s">
        <v>335</v>
      </c>
    </row>
    <row r="25" spans="5:6" x14ac:dyDescent="0.3">
      <c r="E25" s="8" t="s">
        <v>821</v>
      </c>
      <c r="F25" s="8" t="s">
        <v>450</v>
      </c>
    </row>
    <row r="26" spans="5:6" x14ac:dyDescent="0.3">
      <c r="E26" s="8" t="s">
        <v>551</v>
      </c>
      <c r="F26" s="8" t="s">
        <v>362</v>
      </c>
    </row>
    <row r="27" spans="5:6" x14ac:dyDescent="0.3">
      <c r="E27" s="8" t="s">
        <v>1045</v>
      </c>
      <c r="F27" s="8" t="s">
        <v>393</v>
      </c>
    </row>
    <row r="28" spans="5:6" x14ac:dyDescent="0.3">
      <c r="E28" s="8" t="s">
        <v>144</v>
      </c>
      <c r="F28" s="8" t="s">
        <v>99</v>
      </c>
    </row>
    <row r="29" spans="5:6" x14ac:dyDescent="0.3">
      <c r="E29" s="8" t="s">
        <v>423</v>
      </c>
      <c r="F29" s="8" t="s">
        <v>959</v>
      </c>
    </row>
    <row r="30" spans="5:6" x14ac:dyDescent="0.3">
      <c r="E30" s="8" t="s">
        <v>332</v>
      </c>
      <c r="F30" s="8" t="s">
        <v>110</v>
      </c>
    </row>
    <row r="31" spans="5:6" x14ac:dyDescent="0.3">
      <c r="E31" s="8" t="s">
        <v>240</v>
      </c>
      <c r="F31" s="8" t="s">
        <v>176</v>
      </c>
    </row>
    <row r="32" spans="5:6" x14ac:dyDescent="0.3">
      <c r="E32" s="8" t="s">
        <v>366</v>
      </c>
    </row>
    <row r="33" spans="5:5" x14ac:dyDescent="0.3">
      <c r="E33" s="8" t="s">
        <v>190</v>
      </c>
    </row>
    <row r="34" spans="5:5" x14ac:dyDescent="0.3">
      <c r="E34" s="8" t="s">
        <v>277</v>
      </c>
    </row>
    <row r="35" spans="5:5" x14ac:dyDescent="0.3">
      <c r="E35" s="8" t="s">
        <v>488</v>
      </c>
    </row>
    <row r="36" spans="5:5" x14ac:dyDescent="0.3">
      <c r="E36" s="8" t="s">
        <v>604</v>
      </c>
    </row>
    <row r="37" spans="5:5" x14ac:dyDescent="0.3">
      <c r="E37" s="8" t="s">
        <v>228</v>
      </c>
    </row>
    <row r="38" spans="5:5" x14ac:dyDescent="0.3">
      <c r="E38" s="8" t="s">
        <v>464</v>
      </c>
    </row>
    <row r="39" spans="5:5" x14ac:dyDescent="0.3">
      <c r="E39" s="8" t="s">
        <v>316</v>
      </c>
    </row>
    <row r="40" spans="5:5" x14ac:dyDescent="0.3">
      <c r="E40" s="8" t="s">
        <v>642</v>
      </c>
    </row>
    <row r="41" spans="5:5" x14ac:dyDescent="0.3">
      <c r="E41" s="8" t="s">
        <v>216</v>
      </c>
    </row>
    <row r="42" spans="5:5" x14ac:dyDescent="0.3">
      <c r="E42" s="8" t="s">
        <v>1046</v>
      </c>
    </row>
    <row r="43" spans="5:5" x14ac:dyDescent="0.3">
      <c r="E43" s="8" t="s">
        <v>953</v>
      </c>
    </row>
    <row r="44" spans="5:5" x14ac:dyDescent="0.3">
      <c r="E44" s="8" t="s">
        <v>935</v>
      </c>
    </row>
    <row r="45" spans="5:5" x14ac:dyDescent="0.3">
      <c r="E45" s="8" t="s">
        <v>257</v>
      </c>
    </row>
    <row r="46" spans="5:5" x14ac:dyDescent="0.3">
      <c r="E46" s="8" t="s">
        <v>84</v>
      </c>
    </row>
    <row r="47" spans="5:5" x14ac:dyDescent="0.3">
      <c r="E47" s="8" t="s">
        <v>183</v>
      </c>
    </row>
    <row r="48" spans="5:5" x14ac:dyDescent="0.3">
      <c r="E48" s="8" t="s">
        <v>1047</v>
      </c>
    </row>
    <row r="49" spans="5:5" x14ac:dyDescent="0.3">
      <c r="E49" s="8" t="s">
        <v>663</v>
      </c>
    </row>
    <row r="50" spans="5:5" x14ac:dyDescent="0.3">
      <c r="E50" s="8" t="s">
        <v>584</v>
      </c>
    </row>
    <row r="51" spans="5:5" x14ac:dyDescent="0.3">
      <c r="E51" s="8" t="s">
        <v>457</v>
      </c>
    </row>
    <row r="52" spans="5:5" x14ac:dyDescent="0.3">
      <c r="E52" s="8" t="s">
        <v>1048</v>
      </c>
    </row>
    <row r="53" spans="5:5" x14ac:dyDescent="0.3">
      <c r="E53" s="8" t="s">
        <v>999</v>
      </c>
    </row>
    <row r="54" spans="5:5" x14ac:dyDescent="0.3">
      <c r="E54" s="8" t="s">
        <v>165</v>
      </c>
    </row>
    <row r="55" spans="5:5" x14ac:dyDescent="0.3">
      <c r="E55" s="8" t="s">
        <v>1049</v>
      </c>
    </row>
    <row r="56" spans="5:5" x14ac:dyDescent="0.3">
      <c r="E56" s="8" t="s">
        <v>912</v>
      </c>
    </row>
    <row r="57" spans="5:5" x14ac:dyDescent="0.3">
      <c r="E57" s="8" t="s">
        <v>1050</v>
      </c>
    </row>
    <row r="58" spans="5:5" x14ac:dyDescent="0.3">
      <c r="E58" s="8" t="s">
        <v>861</v>
      </c>
    </row>
    <row r="59" spans="5:5" x14ac:dyDescent="0.3">
      <c r="E59" s="8" t="s">
        <v>209</v>
      </c>
    </row>
    <row r="60" spans="5:5" x14ac:dyDescent="0.3">
      <c r="E60" s="8" t="s">
        <v>589</v>
      </c>
    </row>
    <row r="61" spans="5:5" x14ac:dyDescent="0.3">
      <c r="E61" s="8" t="s">
        <v>780</v>
      </c>
    </row>
    <row r="62" spans="5:5" x14ac:dyDescent="0.3">
      <c r="E62" s="8" t="s">
        <v>387</v>
      </c>
    </row>
    <row r="63" spans="5:5" x14ac:dyDescent="0.3">
      <c r="E63" s="8" t="s">
        <v>1051</v>
      </c>
    </row>
    <row r="64" spans="5:5" x14ac:dyDescent="0.3">
      <c r="E64" s="8" t="s">
        <v>853</v>
      </c>
    </row>
    <row r="65" spans="5:5" x14ac:dyDescent="0.3">
      <c r="E65" s="8" t="s">
        <v>653</v>
      </c>
    </row>
    <row r="66" spans="5:5" x14ac:dyDescent="0.3">
      <c r="E66" s="8" t="s">
        <v>772</v>
      </c>
    </row>
    <row r="67" spans="5:5" x14ac:dyDescent="0.3">
      <c r="E67" s="8" t="s">
        <v>682</v>
      </c>
    </row>
    <row r="68" spans="5:5" x14ac:dyDescent="0.3">
      <c r="E68" s="8" t="s">
        <v>115</v>
      </c>
    </row>
    <row r="69" spans="5:5" x14ac:dyDescent="0.3">
      <c r="E69" s="8" t="s">
        <v>267</v>
      </c>
    </row>
    <row r="70" spans="5:5" x14ac:dyDescent="0.3">
      <c r="E70" s="8" t="s">
        <v>634</v>
      </c>
    </row>
    <row r="71" spans="5:5" x14ac:dyDescent="0.3">
      <c r="E71" s="8" t="s">
        <v>235</v>
      </c>
    </row>
    <row r="72" spans="5:5" x14ac:dyDescent="0.3">
      <c r="E72" s="8" t="s">
        <v>202</v>
      </c>
    </row>
    <row r="73" spans="5:5" x14ac:dyDescent="0.3">
      <c r="E73" s="8" t="s">
        <v>158</v>
      </c>
    </row>
    <row r="74" spans="5:5" x14ac:dyDescent="0.3">
      <c r="E74" s="8" t="s">
        <v>272</v>
      </c>
    </row>
    <row r="75" spans="5:5" x14ac:dyDescent="0.3">
      <c r="E75" s="8" t="s">
        <v>940</v>
      </c>
    </row>
    <row r="76" spans="5:5" x14ac:dyDescent="0.3">
      <c r="E76" s="8" t="s">
        <v>1052</v>
      </c>
    </row>
    <row r="77" spans="5:5" x14ac:dyDescent="0.3">
      <c r="E77" s="8" t="s">
        <v>945</v>
      </c>
    </row>
    <row r="78" spans="5:5" x14ac:dyDescent="0.3">
      <c r="E78" s="8" t="s">
        <v>1053</v>
      </c>
    </row>
    <row r="79" spans="5:5" x14ac:dyDescent="0.3">
      <c r="E79" s="8" t="s">
        <v>543</v>
      </c>
    </row>
    <row r="80" spans="5:5" x14ac:dyDescent="0.3">
      <c r="E80" s="8" t="s">
        <v>1054</v>
      </c>
    </row>
    <row r="81" spans="5:5" x14ac:dyDescent="0.3">
      <c r="E81" s="8" t="s">
        <v>1055</v>
      </c>
    </row>
    <row r="82" spans="5:5" x14ac:dyDescent="0.3">
      <c r="E82" s="8" t="s">
        <v>405</v>
      </c>
    </row>
    <row r="83" spans="5:5" x14ac:dyDescent="0.3">
      <c r="E83" s="8" t="s">
        <v>107</v>
      </c>
    </row>
    <row r="84" spans="5:5" x14ac:dyDescent="0.3">
      <c r="E84" s="8" t="s">
        <v>95</v>
      </c>
    </row>
    <row r="85" spans="5:5" x14ac:dyDescent="0.3">
      <c r="E85" s="8" t="s">
        <v>690</v>
      </c>
    </row>
    <row r="86" spans="5:5" x14ac:dyDescent="0.3">
      <c r="E86" s="8" t="s">
        <v>289</v>
      </c>
    </row>
    <row r="87" spans="5:5" x14ac:dyDescent="0.3">
      <c r="E87" s="8" t="s">
        <v>499</v>
      </c>
    </row>
    <row r="88" spans="5:5" x14ac:dyDescent="0.3">
      <c r="E88" s="8" t="s">
        <v>618</v>
      </c>
    </row>
    <row r="89" spans="5:5" x14ac:dyDescent="0.3">
      <c r="E89" s="8" t="s">
        <v>722</v>
      </c>
    </row>
    <row r="90" spans="5:5" x14ac:dyDescent="0.3">
      <c r="E90" s="8" t="s">
        <v>1056</v>
      </c>
    </row>
    <row r="91" spans="5:5" x14ac:dyDescent="0.3">
      <c r="E91" s="8" t="s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LEEME</vt:lpstr>
      <vt:lpstr>Reclamos</vt:lpstr>
      <vt:lpstr>FormularioReclamo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2026-09-25T21:35:34Z</dcterms:created>
  <dcterms:modified xsi:type="dcterms:W3CDTF">2026-09-25T21:35:45Z</dcterms:modified>
</cp:coreProperties>
</file>